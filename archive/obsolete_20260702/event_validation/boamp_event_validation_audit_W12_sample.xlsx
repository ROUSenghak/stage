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enghakrou\stage-1\event_validation\outputs\"/>
    </mc:Choice>
  </mc:AlternateContent>
  <xr:revisionPtr revIDLastSave="0" documentId="13_ncr:1_{A43AE211-BCE0-4AF8-A1AA-C58A5299A88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Working" sheetId="1" r:id="rId1"/>
    <sheet name="Manual_Audit_Sample" sheetId="2" r:id="rId2"/>
    <sheet name="README" sheetId="3" r:id="rId3"/>
    <sheet name="Validation_Metrics" sheetId="4" r:id="rId4"/>
    <sheet name="Threshold_Sensitivity" sheetId="5" r:id="rId5"/>
    <sheet name="Event_Bias_Check" sheetId="6" r:id="rId6"/>
    <sheet name="Category_Event_Rates" sheetId="7" r:id="rId7"/>
    <sheet name="BOAMP_Raw_Record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1" i="2" l="1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<sst xmlns="http://schemas.openxmlformats.org/spreadsheetml/2006/main" count="6165" uniqueCount="1999">
  <si>
    <t>audit_id</t>
  </si>
  <si>
    <t>event</t>
  </si>
  <si>
    <t>source_buyer_name</t>
  </si>
  <si>
    <t>candidate_buyer_name</t>
  </si>
  <si>
    <t>source_object</t>
  </si>
  <si>
    <t>candidate_object</t>
  </si>
  <si>
    <t>source_cpv</t>
  </si>
  <si>
    <t>candidate_cpv</t>
  </si>
  <si>
    <t>start_date</t>
  </si>
  <si>
    <t>estimated_end_date</t>
  </si>
  <si>
    <t>candidate_date</t>
  </si>
  <si>
    <t>composite_score</t>
  </si>
  <si>
    <t>text_similarity</t>
  </si>
  <si>
    <t>cpv_score</t>
  </si>
  <si>
    <t>temporal_score</t>
  </si>
  <si>
    <t>score_margin</t>
  </si>
  <si>
    <t>source_boamp_url</t>
  </si>
  <si>
    <t>candidate_boamp_url</t>
  </si>
  <si>
    <t>nearest_later_notice_id</t>
  </si>
  <si>
    <t>nearest_later_notice_date</t>
  </si>
  <si>
    <t>manual_decision</t>
  </si>
  <si>
    <t>manual_error_type</t>
  </si>
  <si>
    <t>manual_notes</t>
  </si>
  <si>
    <t>boamp_source_record_checked</t>
  </si>
  <si>
    <t>boamp_candidate_record_checked</t>
  </si>
  <si>
    <t>AUD-001</t>
  </si>
  <si>
    <t>DIR INTERDEPARTEMENTALE DES RTE OUEST</t>
  </si>
  <si>
    <t>Prestations de maîtrise d'oeuvre, de conseil et d'étude en informatique</t>
  </si>
  <si>
    <t>2021-04-24</t>
  </si>
  <si>
    <t>2022-04-24</t>
  </si>
  <si>
    <t>21-53955</t>
  </si>
  <si>
    <t>AUD-002</t>
  </si>
  <si>
    <t>Conseil régional des Pays de la Loire</t>
  </si>
  <si>
    <t>Conception et acquisition de gilets jaunes normalisés à destination des élèves empruntant le transport scolaire</t>
  </si>
  <si>
    <t>Conception et acquisition de gilets haute visibilité normalisés à destination des élèves empruntant le transport scolaire dans la Région des Pays de la Loire</t>
  </si>
  <si>
    <t>2018-07-26</t>
  </si>
  <si>
    <t>2019-07-26</t>
  </si>
  <si>
    <t>2019-06-27</t>
  </si>
  <si>
    <t>18-105237</t>
  </si>
  <si>
    <t>19-32405</t>
  </si>
  <si>
    <t>AUD-003</t>
  </si>
  <si>
    <t>CHU de Nantes</t>
  </si>
  <si>
    <t>prestations de maintenance, de gestion, de requête et d'analyses statistiques sur le dossier médical informatisé e-nadis du corevih des pays de la loire à Nantes</t>
  </si>
  <si>
    <t>Prestations de maintenance, de gestion, de requête sur le dossier médical informatisé " e-NADIS "</t>
  </si>
  <si>
    <t>2015-06-03</t>
  </si>
  <si>
    <t>2019-06-03</t>
  </si>
  <si>
    <t>2018-06-06</t>
  </si>
  <si>
    <t>15-83632</t>
  </si>
  <si>
    <t>18-76556</t>
  </si>
  <si>
    <t>AUD-004</t>
  </si>
  <si>
    <t>MONTREVAULT-SUR-ÈVRE</t>
  </si>
  <si>
    <t>Fourniture, installation, mise en service et maintenance de panneaux électroniques d'information</t>
  </si>
  <si>
    <t>2019-12-20</t>
  </si>
  <si>
    <t>2023-12-20</t>
  </si>
  <si>
    <t>19-190109</t>
  </si>
  <si>
    <t>AUD-005</t>
  </si>
  <si>
    <t>Le Grand T - Théâtre Loire-Atlantique</t>
  </si>
  <si>
    <t>Renouvellement du système de sonorisation façade du Théâtre Le Grand T</t>
  </si>
  <si>
    <t>2017-02-21</t>
  </si>
  <si>
    <t>2021-02-21</t>
  </si>
  <si>
    <t>17-25253</t>
  </si>
  <si>
    <t>AUD-006</t>
  </si>
  <si>
    <t>Université de Nantes</t>
  </si>
  <si>
    <t>COMMUNE DE NANTES</t>
  </si>
  <si>
    <t>Accord cadre pour la création d'une application mobile pour l'Université de Nantes</t>
  </si>
  <si>
    <t>acquisition et installation d'un logiciel de gestion de l'accompagnement social</t>
  </si>
  <si>
    <t>2016-07-07</t>
  </si>
  <si>
    <t>2020-07-07</t>
  </si>
  <si>
    <t>2020-03-15</t>
  </si>
  <si>
    <t>16-62960</t>
  </si>
  <si>
    <t>20-38676</t>
  </si>
  <si>
    <t>AUD-007</t>
  </si>
  <si>
    <t>Conseil départemental de la Mayenne</t>
  </si>
  <si>
    <t>modernisation des moyens de communication</t>
  </si>
  <si>
    <t>2016-07-15</t>
  </si>
  <si>
    <t>2020-07-15</t>
  </si>
  <si>
    <t>16-105530</t>
  </si>
  <si>
    <t>20-150745</t>
  </si>
  <si>
    <t>2020-12-12</t>
  </si>
  <si>
    <t>AUD-008</t>
  </si>
  <si>
    <t>Le Mans Métropole - Communauté Urbaine</t>
  </si>
  <si>
    <t>fourniture et mise en oeuvre d'un sig de gestion des fourreaux de télécommunications pour le mans métropole à Le Mans</t>
  </si>
  <si>
    <t>Prestation de télérelève de compteurs fluides et de capteurs - Année 2020 pour une durée de 4 ans</t>
  </si>
  <si>
    <t>2016-02-04</t>
  </si>
  <si>
    <t>2020-02-04</t>
  </si>
  <si>
    <t>2020-03-16</t>
  </si>
  <si>
    <t>16-16627</t>
  </si>
  <si>
    <t>19-160471</t>
  </si>
  <si>
    <t>AUD-009</t>
  </si>
  <si>
    <t>INSERM</t>
  </si>
  <si>
    <t>accord-cadre ayant pour objet l'infogérance du système de production informatique (spi) et les prestations de centre de services (cds) de l'inserm</t>
  </si>
  <si>
    <t>2017-09-14</t>
  </si>
  <si>
    <t>2019-09-14</t>
  </si>
  <si>
    <t>17-128615</t>
  </si>
  <si>
    <t>AUD-010</t>
  </si>
  <si>
    <t>Loire Ocean developpement</t>
  </si>
  <si>
    <t>travaux d'aménagement du secteur sud de l'opération bagatelle à saint-herblain (44).</t>
  </si>
  <si>
    <t>2017-10-23</t>
  </si>
  <si>
    <t>2022-04-23</t>
  </si>
  <si>
    <t>17-147216</t>
  </si>
  <si>
    <t>23-174001</t>
  </si>
  <si>
    <t>2023-12-14</t>
  </si>
  <si>
    <t>AUD-011</t>
  </si>
  <si>
    <t>CTRE HOSP UNIVERSITAIRE ANGERS</t>
  </si>
  <si>
    <t>La mise en oeuvre d'un outil informatique permettant d'accompagner le déploiement du projet de plateforme vigilans en pays de la loire.</t>
  </si>
  <si>
    <t>Accord-cadre conception, développement, maintenance de sites WEB, Intranet et plan interactif GHT49</t>
  </si>
  <si>
    <t>2019-08-14</t>
  </si>
  <si>
    <t>2023-08-14</t>
  </si>
  <si>
    <t>2023-05-06</t>
  </si>
  <si>
    <t>19-125270</t>
  </si>
  <si>
    <t>23-61217</t>
  </si>
  <si>
    <t>AUD-012</t>
  </si>
  <si>
    <t>Université d'Angers</t>
  </si>
  <si>
    <t>Maintenance des matériels de téléphonie Alcatel</t>
  </si>
  <si>
    <t>2017-12-15</t>
  </si>
  <si>
    <t>2020-12-14</t>
  </si>
  <si>
    <t>2020-09-19</t>
  </si>
  <si>
    <t>17-124586</t>
  </si>
  <si>
    <t>20-114106</t>
  </si>
  <si>
    <t>AUD-013</t>
  </si>
  <si>
    <t>LOCATION MAINTENANCE ET ENTRETIEN DES MATÉRIELS ET LOGICIELS D'IMPRESSION DANS LES SERVICES DE LA RÉGION DES PAYS DE LA LOIRE</t>
  </si>
  <si>
    <t>MAINTENANCE ET EVOLUTIONS DE BUSINESS OBJECTS, 360 WEB PLATFORM ET 360 EYES</t>
  </si>
  <si>
    <t>2021-12-22</t>
  </si>
  <si>
    <t>2023-12-22</t>
  </si>
  <si>
    <t>2023-12-16</t>
  </si>
  <si>
    <t>21-130956</t>
  </si>
  <si>
    <t>23-174149</t>
  </si>
  <si>
    <t>AUD-014</t>
  </si>
  <si>
    <t>Nantes Métropole</t>
  </si>
  <si>
    <t>prestation de réalisation d'une orthophographie et d'un modèle numérique de terrain et d'élévation sur le territoire de nantes métropole</t>
  </si>
  <si>
    <t>acquisition d'orthographies sur le territoire de nantes métropole</t>
  </si>
  <si>
    <t>2017-11-29</t>
  </si>
  <si>
    <t>2021-11-29</t>
  </si>
  <si>
    <t>2022-02-10</t>
  </si>
  <si>
    <t>17-168569</t>
  </si>
  <si>
    <t>22-21573</t>
  </si>
  <si>
    <t>AUD-015</t>
  </si>
  <si>
    <t>Tierce Maintenance applicative du logiciel PEGASE</t>
  </si>
  <si>
    <t>Tierce maintenance Applicative des logiciels PRENEONAT (lot 1) et PEDIALOG (lot2)</t>
  </si>
  <si>
    <t>2018-04-03</t>
  </si>
  <si>
    <t>2022-04-03</t>
  </si>
  <si>
    <t>2022-06-23</t>
  </si>
  <si>
    <t>17-159373</t>
  </si>
  <si>
    <t>22-87982</t>
  </si>
  <si>
    <t>AUD-016</t>
  </si>
  <si>
    <t>CG49</t>
  </si>
  <si>
    <t>fourniture de licences pour logiciels et services en ligne microsoft pour les services départementaux à Angers (rectificatif)</t>
  </si>
  <si>
    <t>2016-03-02</t>
  </si>
  <si>
    <t>2020-03-02</t>
  </si>
  <si>
    <t>16-30715</t>
  </si>
  <si>
    <t>AUD-017</t>
  </si>
  <si>
    <t>SOC PUBLIQUE REG ABE DE FONTEVRAUD</t>
  </si>
  <si>
    <t>Fourniture De Materiel Technique Pour Le Parcours Nocturne Scenographie De L'Abbaye De Fontevraud</t>
  </si>
  <si>
    <t>2023-03-11</t>
  </si>
  <si>
    <t>2023-07-10</t>
  </si>
  <si>
    <t>23-31948</t>
  </si>
  <si>
    <t>AUD-018</t>
  </si>
  <si>
    <t>Préfecture</t>
  </si>
  <si>
    <t>Réalisation d'un panorama de presse numérique quotidien &lt;&lt; clé en mains &gt;&gt; reprenant la presse d'opinion, la presse nationale, la presse régionale et locale sur les thématiques d</t>
  </si>
  <si>
    <t>2017-08-23</t>
  </si>
  <si>
    <t>2021-08-23</t>
  </si>
  <si>
    <t>17-119142</t>
  </si>
  <si>
    <t>AUD-019</t>
  </si>
  <si>
    <t>ASSOCIATION E-TOILE</t>
  </si>
  <si>
    <t>Prestations de développement de logiciel pour l'identification bovine</t>
  </si>
  <si>
    <t>2016-07-09</t>
  </si>
  <si>
    <t>2021-07-09</t>
  </si>
  <si>
    <t>16-98835</t>
  </si>
  <si>
    <t>AUD-020</t>
  </si>
  <si>
    <t>Commune de Saint-Nazaire</t>
  </si>
  <si>
    <t>COMMUNE DE SAINT NAZAIRE</t>
  </si>
  <si>
    <t>acquisition de matériels de festivités pour la ville de saint-nazaire.</t>
  </si>
  <si>
    <t>Acquisition de matériels de festivité et électoral</t>
  </si>
  <si>
    <t>2017-11-09</t>
  </si>
  <si>
    <t>2021-11-09</t>
  </si>
  <si>
    <t>2022-04-04</t>
  </si>
  <si>
    <t>17-104307</t>
  </si>
  <si>
    <t>21-169350</t>
  </si>
  <si>
    <t>AUD-021</t>
  </si>
  <si>
    <t>prestation d'alimentation et de gestion de base de données pour les besoins de la Région des Pays de la Loire à Nantes</t>
  </si>
  <si>
    <t>Accompagnement pour la mise en oeuvre du schéma directeur numérique de la Région des Pays de la Loire</t>
  </si>
  <si>
    <t>2016-10-14</t>
  </si>
  <si>
    <t>2017-04-14</t>
  </si>
  <si>
    <t>2017-08-09</t>
  </si>
  <si>
    <t>16-85662</t>
  </si>
  <si>
    <t>17-68186</t>
  </si>
  <si>
    <t>AUD-022</t>
  </si>
  <si>
    <t>Mise en place d'un centre de service de développement pour la Région des Pays de la Loire</t>
  </si>
  <si>
    <t>2020-06-26</t>
  </si>
  <si>
    <t>2020-06-11</t>
  </si>
  <si>
    <t>20-12202</t>
  </si>
  <si>
    <t>AUD-023</t>
  </si>
  <si>
    <t>Angers Loire Métropole</t>
  </si>
  <si>
    <t>Solution d'accès et de saisie de données en mobilité</t>
  </si>
  <si>
    <t>Prestations d'assistance au développement sous typo 3, et maintenance web et prestations complémentaires</t>
  </si>
  <si>
    <t>2019-01-17</t>
  </si>
  <si>
    <t>2020-01-17</t>
  </si>
  <si>
    <t>2020-01-06</t>
  </si>
  <si>
    <t>19-8916</t>
  </si>
  <si>
    <t>19-176963</t>
  </si>
  <si>
    <t>AUD-024</t>
  </si>
  <si>
    <t>Ville d'Angers</t>
  </si>
  <si>
    <t>Boucle optique Angevine et infrastructures de communications électroniques : extensions et restructurations, à Angers</t>
  </si>
  <si>
    <t>Travaux de rénovation et de modernisation du centre des congrès d'Angers</t>
  </si>
  <si>
    <t>2015-03-27</t>
  </si>
  <si>
    <t>2018-03-26</t>
  </si>
  <si>
    <t>2017-04-21</t>
  </si>
  <si>
    <t>15-47591</t>
  </si>
  <si>
    <t>17-55172</t>
  </si>
  <si>
    <t>AUD-025</t>
  </si>
  <si>
    <t>e-Collectivités Vendée</t>
  </si>
  <si>
    <t>Fourniture d'une suite de logiciels métiers pour les collectivités locales et prestations associées</t>
  </si>
  <si>
    <t>Acquisition de licences et produits mutualisés de cybersécurité</t>
  </si>
  <si>
    <t>2020-04-10</t>
  </si>
  <si>
    <t>2022-04-10</t>
  </si>
  <si>
    <t>2022-07-24</t>
  </si>
  <si>
    <t>19-180395</t>
  </si>
  <si>
    <t>22-103042</t>
  </si>
  <si>
    <t>AUD-026</t>
  </si>
  <si>
    <t>Prestation de service pour la gestion des différents pass jeunes de la Région</t>
  </si>
  <si>
    <t>hébergement et infogérance, tierce maintenance applicative et administration fonctionnelle métier des SI transports actuels en Région des Pays de la Loire</t>
  </si>
  <si>
    <t>2018-08-09</t>
  </si>
  <si>
    <t>2018-07-12</t>
  </si>
  <si>
    <t>17-71849</t>
  </si>
  <si>
    <t>18-30222</t>
  </si>
  <si>
    <t>AUD-027</t>
  </si>
  <si>
    <t>assistance à la mise en oeuvre du système de management de la sécurité de l'information.</t>
  </si>
  <si>
    <t>prestations d'auit de sécurité des systèmes d'information</t>
  </si>
  <si>
    <t>2018-12-18</t>
  </si>
  <si>
    <t>2022-12-18</t>
  </si>
  <si>
    <t>2023-03-15</t>
  </si>
  <si>
    <t>18-174875</t>
  </si>
  <si>
    <t>23-34854</t>
  </si>
  <si>
    <t>AUD-028</t>
  </si>
  <si>
    <t>Vendée Eau</t>
  </si>
  <si>
    <t>VENDEE EAU</t>
  </si>
  <si>
    <t>Travaux d'aménagement scénographique du château d'eau d'Apremont</t>
  </si>
  <si>
    <t>Assistance-conseil pour la restructuration du SIG de Vendée Eau</t>
  </si>
  <si>
    <t>2015-04-27</t>
  </si>
  <si>
    <t>2019-04-27</t>
  </si>
  <si>
    <t>2019-05-15</t>
  </si>
  <si>
    <t>15-63153</t>
  </si>
  <si>
    <t>19-75795</t>
  </si>
  <si>
    <t>AUD-029</t>
  </si>
  <si>
    <t>GPM de Nantes - St Nazaire</t>
  </si>
  <si>
    <t>mise en oeuvre de la solution oracle ebusiness suite r12.2.4, de solutions connexes et acquisition des licences complémentaires à Nantes</t>
  </si>
  <si>
    <t>Fourniture installation et intégration d'émetteurs / récepteurs radar pour les sites de Mindin et de l'Herbaudière</t>
  </si>
  <si>
    <t>2016-07-29</t>
  </si>
  <si>
    <t>2020-07-29</t>
  </si>
  <si>
    <t>2019-11-05</t>
  </si>
  <si>
    <t>16-42170</t>
  </si>
  <si>
    <t>19-39750</t>
  </si>
  <si>
    <t>AUD-030</t>
  </si>
  <si>
    <t>fourniture et maintenance d'une solution de gestion informatique de véhicules en auto-partage</t>
  </si>
  <si>
    <t>Acquisition de matériels informatiques et logiciels</t>
  </si>
  <si>
    <t>2018-11-05</t>
  </si>
  <si>
    <t>2020-11-04</t>
  </si>
  <si>
    <t>2020-12-03</t>
  </si>
  <si>
    <t>18-88858</t>
  </si>
  <si>
    <t>20-109382</t>
  </si>
  <si>
    <t>AUD-031</t>
  </si>
  <si>
    <t>CNIEG</t>
  </si>
  <si>
    <t>assistance au projet de refonte du site internet de la cnieg à Nantes</t>
  </si>
  <si>
    <t>APPUI AU MONTAGE D'UNE PROCEDURE MARCHE PUBLIC INFORMATIQUE</t>
  </si>
  <si>
    <t>2015-06-24</t>
  </si>
  <si>
    <t>2019-06-24</t>
  </si>
  <si>
    <t>2019-07-04</t>
  </si>
  <si>
    <t>15-96106</t>
  </si>
  <si>
    <t>19-103125</t>
  </si>
  <si>
    <t>AUD-032</t>
  </si>
  <si>
    <t>Acquisition de matériels divers pour la Setram</t>
  </si>
  <si>
    <t>Achat de matériels pour la Setrram</t>
  </si>
  <si>
    <t>2019-03-26</t>
  </si>
  <si>
    <t>2020-03-25</t>
  </si>
  <si>
    <t>2019-12-23</t>
  </si>
  <si>
    <t>18-146639</t>
  </si>
  <si>
    <t>19-119207</t>
  </si>
  <si>
    <t>AUD-033</t>
  </si>
  <si>
    <t>SDIS 49</t>
  </si>
  <si>
    <t>fourniture et mise en oeuvre d'un système de gestion de la phonie et des équipements de transmission Antares pour le cta/codis et le Samu pour les besoins du SDIS 49</t>
  </si>
  <si>
    <t>2016-12-22</t>
  </si>
  <si>
    <t>2020-12-22</t>
  </si>
  <si>
    <t>16-97484</t>
  </si>
  <si>
    <t>AUD-034</t>
  </si>
  <si>
    <t>Ville de Bouguenais</t>
  </si>
  <si>
    <t>Fourniture et mise en oeuvre d'infrastructures Lan et Wifi pour la ville de Bouguenais</t>
  </si>
  <si>
    <t>2020-02-23</t>
  </si>
  <si>
    <t>2021-02-22</t>
  </si>
  <si>
    <t>2020-10-22</t>
  </si>
  <si>
    <t>20-27109</t>
  </si>
  <si>
    <t>20-61130</t>
  </si>
  <si>
    <t>AUD-035</t>
  </si>
  <si>
    <t>COMMUNE DE OMBREE D ANJOU</t>
  </si>
  <si>
    <t>Achat de mobilier et de vaisselle pour le territoire d'Ombrée d'Anjou</t>
  </si>
  <si>
    <t>Location de véhicules, engins et matériels</t>
  </si>
  <si>
    <t>2020-11-09</t>
  </si>
  <si>
    <t>2021-03-10</t>
  </si>
  <si>
    <t>2021-09-15</t>
  </si>
  <si>
    <t>20-137453</t>
  </si>
  <si>
    <t>21-123669</t>
  </si>
  <si>
    <t>AUD-036</t>
  </si>
  <si>
    <t>Conseil général de la Vendée</t>
  </si>
  <si>
    <t>fourniture d'articles répondant aux besoins des associations et des manifestations à caractère promotionnel à La Roche Sur Yon</t>
  </si>
  <si>
    <t>Fourniture de matériel vidéo pour le Vendéspace</t>
  </si>
  <si>
    <t>2015-03-24</t>
  </si>
  <si>
    <t>2019-03-24</t>
  </si>
  <si>
    <t>2019-08-19</t>
  </si>
  <si>
    <t>15-44999</t>
  </si>
  <si>
    <t>19-126819</t>
  </si>
  <si>
    <t>AUD-037</t>
  </si>
  <si>
    <t>FOURNITURE, MISE EN OEUVRE ET MAINTENANCE D'UN SYSTEME DE VIDEO-PROTECTION URBAINE POUR LA COMMUNE DE BOUGUENAIS</t>
  </si>
  <si>
    <t>Fourniture et prestations de refonte et de maintenance des infrastructures du système informatique de la Ville de Bouguenais.</t>
  </si>
  <si>
    <t>2021-07-24</t>
  </si>
  <si>
    <t>2022-02-22</t>
  </si>
  <si>
    <t>2022-07-08</t>
  </si>
  <si>
    <t>21-102565</t>
  </si>
  <si>
    <t>22-19299</t>
  </si>
  <si>
    <t>AUD-038</t>
  </si>
  <si>
    <t>fourniture et prestations de services sur le système d'information et les équipe..</t>
  </si>
  <si>
    <t>acquisition et mise en oeuvre d'une solution logicielle de gestion de la relation aux usagers</t>
  </si>
  <si>
    <t>2016-10-13</t>
  </si>
  <si>
    <t>2020-10-13</t>
  </si>
  <si>
    <t>2020-11-08</t>
  </si>
  <si>
    <t>16-63342</t>
  </si>
  <si>
    <t>20-132336</t>
  </si>
  <si>
    <t>AUD-039</t>
  </si>
  <si>
    <t>acquisition des tenues et équipements pour les agents de la sécurité et prévention</t>
  </si>
  <si>
    <t>acquisition des tenues et équipements pour les agents de la sécurité et la prévention-lot 3</t>
  </si>
  <si>
    <t>2022-08-04</t>
  </si>
  <si>
    <t>2023-08-04</t>
  </si>
  <si>
    <t>2023-07-19</t>
  </si>
  <si>
    <t>22-72719</t>
  </si>
  <si>
    <t>23-47137</t>
  </si>
  <si>
    <t>AUD-040</t>
  </si>
  <si>
    <t>Conseil départemental Loire-Atlantique</t>
  </si>
  <si>
    <t>Marché d'intégration et d'évolution du système de vidéo-surveillance</t>
  </si>
  <si>
    <t>Accompagnement au déploiement du socle Publik et des e-services associés</t>
  </si>
  <si>
    <t>2019-05-24</t>
  </si>
  <si>
    <t>2020-05-23</t>
  </si>
  <si>
    <t>2020-05-28</t>
  </si>
  <si>
    <t>19-81470</t>
  </si>
  <si>
    <t>20-68352</t>
  </si>
  <si>
    <t>AUD-041</t>
  </si>
  <si>
    <t>Département de la Vendée</t>
  </si>
  <si>
    <t>Réalisation, pose et dépose de panneaux d'information ou de signalétiques départementales</t>
  </si>
  <si>
    <t>Maintenance, hébergement et développements des sites et applicatifs web du Département de la Vendée</t>
  </si>
  <si>
    <t>2021-09-19</t>
  </si>
  <si>
    <t>2022-08-12</t>
  </si>
  <si>
    <t>20-70265</t>
  </si>
  <si>
    <t>22-51860</t>
  </si>
  <si>
    <t>AUD-042</t>
  </si>
  <si>
    <t>Comm Comm de Doué la Fontaine</t>
  </si>
  <si>
    <t>Acquisition, mise en oeuvre et maintenance d'une solution logicielle de gestion des ressources humaines et des finances</t>
  </si>
  <si>
    <t>2019-02-20</t>
  </si>
  <si>
    <t>2023-02-20</t>
  </si>
  <si>
    <t>19-27651</t>
  </si>
  <si>
    <t>AUD-043</t>
  </si>
  <si>
    <t>Conseil Général de la Sarthe</t>
  </si>
  <si>
    <t>maintenance du logiciel BO BI 4.1 y compris support technique et prestations associées au Mans</t>
  </si>
  <si>
    <t>15-96786</t>
  </si>
  <si>
    <t>AUD-044</t>
  </si>
  <si>
    <t>Département de Maine-et-Loire</t>
  </si>
  <si>
    <t>fourniture de licences pour logiciels et services en ligne microsoft pour les services départementaux</t>
  </si>
  <si>
    <t>Fourniture de licences pour logiciels et services en ligne Microsoft pour les services départementaux de Maine-et-Loire</t>
  </si>
  <si>
    <t>2019-07-02</t>
  </si>
  <si>
    <t>2023-07-02</t>
  </si>
  <si>
    <t>2023-06-02</t>
  </si>
  <si>
    <t>19-48030</t>
  </si>
  <si>
    <t>23-43054</t>
  </si>
  <si>
    <t>AUD-045</t>
  </si>
  <si>
    <t>SEMITAN</t>
  </si>
  <si>
    <t>Mise en place d'un service DESK (assistance informatique) pour la DSI</t>
  </si>
  <si>
    <t>Accord-cadre de prestations pour l'assistance informatique</t>
  </si>
  <si>
    <t>2020-06-22</t>
  </si>
  <si>
    <t>2022-06-22</t>
  </si>
  <si>
    <t>2023-04-05</t>
  </si>
  <si>
    <t>19-174412</t>
  </si>
  <si>
    <t>22-141031</t>
  </si>
  <si>
    <t>AUD-046</t>
  </si>
  <si>
    <t>SYDELA</t>
  </si>
  <si>
    <t>Maintenance des infrastructures de communication électroniques</t>
  </si>
  <si>
    <t>2021-06-23</t>
  </si>
  <si>
    <t>2023-06-23</t>
  </si>
  <si>
    <t>21-86124</t>
  </si>
  <si>
    <t>AUD-047</t>
  </si>
  <si>
    <t>LA ROCHE-SUR-YON AGGLOMERATION</t>
  </si>
  <si>
    <t>fourniture, installation, configuration et maintenance des réseaux téléphoniques et des équipements actifs</t>
  </si>
  <si>
    <t>equipements scéniques de la salle de musique actuelle de la roche-sur-yon - quai m</t>
  </si>
  <si>
    <t>2020-09-24</t>
  </si>
  <si>
    <t>2022-09-24</t>
  </si>
  <si>
    <t>2021-10-07</t>
  </si>
  <si>
    <t>20-57925</t>
  </si>
  <si>
    <t>21-63730</t>
  </si>
  <si>
    <t>AUD-048</t>
  </si>
  <si>
    <t>CARENE</t>
  </si>
  <si>
    <t>tierce maintenance applicative pour l'application hydra développée en powerbuilder</t>
  </si>
  <si>
    <t>fourniture de tuyaux et pièces fonte pour la direction du cycle de l'eau</t>
  </si>
  <si>
    <t>2016-12-02</t>
  </si>
  <si>
    <t>2018-12-02</t>
  </si>
  <si>
    <t>2017-12-19</t>
  </si>
  <si>
    <t>16-172095</t>
  </si>
  <si>
    <t>17-127198</t>
  </si>
  <si>
    <t>AUD-049</t>
  </si>
  <si>
    <t>SEC GAL POUR L ADM MIN INTERIEUR OUEST</t>
  </si>
  <si>
    <t>Restructuration de l'Hôtel de Police d'ANGERS (49)</t>
  </si>
  <si>
    <t>2019-12-13</t>
  </si>
  <si>
    <t>2022-10-12</t>
  </si>
  <si>
    <t>18-135728</t>
  </si>
  <si>
    <t>AUD-050</t>
  </si>
  <si>
    <t>Gestion de la relation avec les acteurs externes - Paramétrage et intégration du CRM Microsoft Dynamics 365 dans le système d'information de la Région des Pays de la Loire</t>
  </si>
  <si>
    <t>ASSISTANCE A MAITRISE D'OUVRAGE TECHNIQUE POUR LE RENOUVELLEMENT ET LE SUIVI DU SYSTEME D'INFORMATION MULTIMODALE DESTINEO EN REGION DES PAYS DE LA LOIRE</t>
  </si>
  <si>
    <t>2019-11-21</t>
  </si>
  <si>
    <t>2021-11-20</t>
  </si>
  <si>
    <t>2022-01-12</t>
  </si>
  <si>
    <t>19-174098</t>
  </si>
  <si>
    <t>21-116891</t>
  </si>
  <si>
    <t>AUD-051</t>
  </si>
  <si>
    <t>CAF de la Somme</t>
  </si>
  <si>
    <t>Acquisition d'une solution de gestion du courrier industriel et d'automatisation de la production au profit de la CAF d'Amiens</t>
  </si>
  <si>
    <t>2016-04-22</t>
  </si>
  <si>
    <t>2021-04-22</t>
  </si>
  <si>
    <t>16-56502</t>
  </si>
  <si>
    <t>AUD-052</t>
  </si>
  <si>
    <t>DIR INTERDEPARTEMENTALE ROUTES OUEST</t>
  </si>
  <si>
    <t>16-DIR-UDI-10</t>
  </si>
  <si>
    <t>18-DIR-UDI-03</t>
  </si>
  <si>
    <t>2017-03-23</t>
  </si>
  <si>
    <t>2018-03-23</t>
  </si>
  <si>
    <t>2018-06-24</t>
  </si>
  <si>
    <t>17-39457</t>
  </si>
  <si>
    <t>18-87219</t>
  </si>
  <si>
    <t>AUD-053</t>
  </si>
  <si>
    <t>Université de La Rochelle</t>
  </si>
  <si>
    <t>Le présent marché a pour objet lachat dun système de PTV 3D - TR (Time Resolved 3D Particle Tracking Velocimetry). Il doit être adapté aux écoulements dair rencontrés dans les domaines du bâtiment ..</t>
  </si>
  <si>
    <t>2018-07-18</t>
  </si>
  <si>
    <t>2022-07-18</t>
  </si>
  <si>
    <t>18-101437</t>
  </si>
  <si>
    <t>AUD-054</t>
  </si>
  <si>
    <t>Marché de tierce maintenance applicative des logiciels ONCOLOG, PRENEONAT, PEDIALOG</t>
  </si>
  <si>
    <t>2018-08-30</t>
  </si>
  <si>
    <t>2022-08-30</t>
  </si>
  <si>
    <t>18-121819</t>
  </si>
  <si>
    <t>AUD-055</t>
  </si>
  <si>
    <t>Ministère des Affaires étrangères</t>
  </si>
  <si>
    <t>fourniture d'un support du serveur de messagerie kerio connect 7 au profit du ministère des affaires étrangères et du développement international à Paris</t>
  </si>
  <si>
    <t>ACCORD CADRE PII DSI 2017</t>
  </si>
  <si>
    <t>2015-06-29</t>
  </si>
  <si>
    <t>2017-06-28</t>
  </si>
  <si>
    <t>15-98976</t>
  </si>
  <si>
    <t>17-44758</t>
  </si>
  <si>
    <t>AUD-056</t>
  </si>
  <si>
    <t>Acquisition d'un porosimètre à mercure</t>
  </si>
  <si>
    <t>2018-10-26</t>
  </si>
  <si>
    <t>2022-10-26</t>
  </si>
  <si>
    <t>18-149889</t>
  </si>
  <si>
    <t>AUD-057</t>
  </si>
  <si>
    <t>acquisition et mise en oeuvre d'une solution logicielle de coordination de chantiers.</t>
  </si>
  <si>
    <t>maintenance et extension du parc de logiciel business objects et prestations associées pour le compte de nantes métropole</t>
  </si>
  <si>
    <t>2018-06-20</t>
  </si>
  <si>
    <t>2023-06-20</t>
  </si>
  <si>
    <t>2023-05-04</t>
  </si>
  <si>
    <t>17-143241</t>
  </si>
  <si>
    <t>23-60788</t>
  </si>
  <si>
    <t>AUD-058</t>
  </si>
  <si>
    <t>Cté de Communes du Pays des Herbiers</t>
  </si>
  <si>
    <t>Fourniture d'Équipements de Protection Individuelle et de vêtements de travail - accords-cadres mono-attributaires avec émission de bons de commande - groupement de commandes</t>
  </si>
  <si>
    <t>mission d'assistance à la mise en oeuvre, accompagnement et maintien en conditions opérationnelles de la gru publik - accord-cadre mono-attributaire avec émission de bons de commande</t>
  </si>
  <si>
    <t>2021-08-09</t>
  </si>
  <si>
    <t>2022-08-09</t>
  </si>
  <si>
    <t>2023-07-20</t>
  </si>
  <si>
    <t>21-50135</t>
  </si>
  <si>
    <t>23-101767</t>
  </si>
  <si>
    <t>AUD-059</t>
  </si>
  <si>
    <t>préfet de la région Pays de la Loire</t>
  </si>
  <si>
    <t>Prestations de développement et de mise en place d'une solution numérique pour le recueil et le partage d'informations entre les services déconcentrés de l'etat en pays de la loire</t>
  </si>
  <si>
    <t>Maintenance préventive et corrective des systèmes de sécurité incendie, des équipements d'alarme et des équipements de lutte contre l'incendie des services de l'État en région Pays de l</t>
  </si>
  <si>
    <t>2018-07-20</t>
  </si>
  <si>
    <t>2019-07-20</t>
  </si>
  <si>
    <t>2019-06-11</t>
  </si>
  <si>
    <t>18-103319</t>
  </si>
  <si>
    <t>19-41115</t>
  </si>
  <si>
    <t>AUD-060</t>
  </si>
  <si>
    <t>Ville de Carquefou</t>
  </si>
  <si>
    <t>Maintenance et extension du système de téléphonie (traditionnelle et sur IP) et du réseau informatique</t>
  </si>
  <si>
    <t>2017-02-01</t>
  </si>
  <si>
    <t>2018-02-01</t>
  </si>
  <si>
    <t>16-151887</t>
  </si>
  <si>
    <t>20-114032</t>
  </si>
  <si>
    <t>2020-09-17</t>
  </si>
  <si>
    <t>AUD-061</t>
  </si>
  <si>
    <t>ARAFER</t>
  </si>
  <si>
    <t>Développement d'un système de gestion de bases de données et d'une plateforme sécurisée d'échange d'information</t>
  </si>
  <si>
    <t>infogérance du système d'information de l'arafer</t>
  </si>
  <si>
    <t>2016-06-04</t>
  </si>
  <si>
    <t>2017-06-04</t>
  </si>
  <si>
    <t>2017-05-19</t>
  </si>
  <si>
    <t>16-81005</t>
  </si>
  <si>
    <t>17-68883</t>
  </si>
  <si>
    <t>AUD-062</t>
  </si>
  <si>
    <t>la présente consultation concerne des prestations de service d'e-conversation : click-to-chat (chat en ligne) et chatbots (robots conversationnels)</t>
  </si>
  <si>
    <t>Prestations en appui du management de la donnée pour le compte du groupement de commandes informatiques (Nantes Métropole, ville de Nantes, C.C.A.S de Nantes)</t>
  </si>
  <si>
    <t>2017-12-22</t>
  </si>
  <si>
    <t>2022-03-19</t>
  </si>
  <si>
    <t>17-179112</t>
  </si>
  <si>
    <t>22-39891</t>
  </si>
  <si>
    <t>AUD-063</t>
  </si>
  <si>
    <t>Confier une partie des activités informatiques de la CNIEG à un tiers sous la forme d'un marché d'infogérance.</t>
  </si>
  <si>
    <t>2020-07-03</t>
  </si>
  <si>
    <t>2020-05-25</t>
  </si>
  <si>
    <t>20-6485</t>
  </si>
  <si>
    <t>AUD-064</t>
  </si>
  <si>
    <t>MASH</t>
  </si>
  <si>
    <t>Mission d'AMO technique et juridique des marchés et procédures du projet EnergieSprong Pays de la Loire</t>
  </si>
  <si>
    <t>2020-09-21</t>
  </si>
  <si>
    <t>2022-01-21</t>
  </si>
  <si>
    <t>2021-10-28</t>
  </si>
  <si>
    <t>20-72791</t>
  </si>
  <si>
    <t>21-126360</t>
  </si>
  <si>
    <t>AUD-065</t>
  </si>
  <si>
    <t>Commune de Saint-Herblain</t>
  </si>
  <si>
    <t>Installation et maintenance des dispositifs de télésurveillance des équipements municipaux de la Ville de Saint-Herblain</t>
  </si>
  <si>
    <t>2017-05-18</t>
  </si>
  <si>
    <t>2018-05-18</t>
  </si>
  <si>
    <t>17-22230</t>
  </si>
  <si>
    <t>19-104228</t>
  </si>
  <si>
    <t>2019-07-05</t>
  </si>
  <si>
    <t>AUD-066</t>
  </si>
  <si>
    <t>GIE SESAM Vitale</t>
  </si>
  <si>
    <t>Assistance technique réalisation</t>
  </si>
  <si>
    <t>Dans le cadre de la gestion de ses projets et de ses activités internes, le GIE SESAM-Vitale souhaite faire réaliser des prestations de veille sécurité du système SESAM-Vitale. Ces prestations se c..</t>
  </si>
  <si>
    <t>2018-05-14</t>
  </si>
  <si>
    <t>2020-05-13</t>
  </si>
  <si>
    <t>2019-11-12</t>
  </si>
  <si>
    <t>17-93952</t>
  </si>
  <si>
    <t>19-169855</t>
  </si>
  <si>
    <t>AUD-067</t>
  </si>
  <si>
    <t>La Cité des Congrès de Nantes</t>
  </si>
  <si>
    <t>Réalisation de prestations de services informatique ainsi que la fourniture de matériel informatique poiur La Cité des Congrés</t>
  </si>
  <si>
    <t>2018-04-28</t>
  </si>
  <si>
    <t>2019-04-28</t>
  </si>
  <si>
    <t>18-58840</t>
  </si>
  <si>
    <t>22-7823</t>
  </si>
  <si>
    <t>2022-01-16</t>
  </si>
  <si>
    <t>AUD-068</t>
  </si>
  <si>
    <t>prestation de TMA de la messagerie du ministère des affaires étrangères dans l'environnement Kerio et logiciels libres d'une part et dans l'environnement microsoft de l'autre, à Paris</t>
  </si>
  <si>
    <t>Prestations de location, d'installation, d'exploitation et de maintenance de câblage et équipements informatiques</t>
  </si>
  <si>
    <t>2015-04-08</t>
  </si>
  <si>
    <t>2019-04-08</t>
  </si>
  <si>
    <t>2019-03-06</t>
  </si>
  <si>
    <t>15-52664</t>
  </si>
  <si>
    <t>19-34512</t>
  </si>
  <si>
    <t>AUD-069</t>
  </si>
  <si>
    <t>Infrastructures et équipements terminaux, réseau, serveur, télécommunication, téléphonie, multimédia</t>
  </si>
  <si>
    <t>2017-04-28</t>
  </si>
  <si>
    <t>2019-11-27</t>
  </si>
  <si>
    <t>17-58113</t>
  </si>
  <si>
    <t>19-177026</t>
  </si>
  <si>
    <t>AUD-070</t>
  </si>
  <si>
    <t>SDIS 85</t>
  </si>
  <si>
    <t>Acquisition d'appareils respiratoires isolants à circuit ouvert et de bouteilles d'air pour le SDIS de la Vendée à La Roche-sur-Yon</t>
  </si>
  <si>
    <t>2015-12-03</t>
  </si>
  <si>
    <t>2019-02-01</t>
  </si>
  <si>
    <t>15-139094</t>
  </si>
  <si>
    <t>19-141668</t>
  </si>
  <si>
    <t>2019-09-19</t>
  </si>
  <si>
    <t>AUD-071</t>
  </si>
  <si>
    <t>FOURNITURE LOGICIELLE, HÉBERGEMENT, EXPLOITATION ET MAINTENANCE APPLICATIVE DE L'ESPACE NUMÉRIQUE DE TRAVAIL (ENT) E-LYCO ET PRESTATIONS ASSOCIÉES</t>
  </si>
  <si>
    <t>MISE A DISPOSITION D'UNE SOLUTION APPLICATIVE EN MODE SAAS PERMETTANT LA GESTION DES TEMPS ET DES ACTIVITES</t>
  </si>
  <si>
    <t>2017-12-13</t>
  </si>
  <si>
    <t>2019-09-12</t>
  </si>
  <si>
    <t>17-173975</t>
  </si>
  <si>
    <t>19-137030</t>
  </si>
  <si>
    <t>AUD-072</t>
  </si>
  <si>
    <t>LYCEE POLYVALENT LEONARD DE VINCI</t>
  </si>
  <si>
    <t>RENOUVELLEMENT DU MATERIEL AUDIOVISUEL pour le lycée Leonard de Vinci (85)</t>
  </si>
  <si>
    <t>RENOUVELLEMENT MATERIEL AUDIOVISUEL pour le lycée Leonard de Vinci (85)</t>
  </si>
  <si>
    <t>2017-06-07</t>
  </si>
  <si>
    <t>2021-06-07</t>
  </si>
  <si>
    <t>2020-11-16</t>
  </si>
  <si>
    <t>17-79002</t>
  </si>
  <si>
    <t>20-140005</t>
  </si>
  <si>
    <t>AUD-073</t>
  </si>
  <si>
    <t>Fourniture et prestations associées d'équipements réseaux et d'une infrastructure Wi-Fi, maintenance de l'existant</t>
  </si>
  <si>
    <t>2023-08-19</t>
  </si>
  <si>
    <t>2023-06-25</t>
  </si>
  <si>
    <t>23-87983</t>
  </si>
  <si>
    <t>AUD-074</t>
  </si>
  <si>
    <t>Le Voyage à Nantes</t>
  </si>
  <si>
    <t>marché de vidéoprotection au château des ducs de bretagne</t>
  </si>
  <si>
    <t>2018-05-20</t>
  </si>
  <si>
    <t>2022-05-20</t>
  </si>
  <si>
    <t>18-67939</t>
  </si>
  <si>
    <t>AUD-075</t>
  </si>
  <si>
    <t>Centre Hospitalier de Cholet</t>
  </si>
  <si>
    <t>Fourniture d'une solution de stockage avec maintenance associée, à Cholet</t>
  </si>
  <si>
    <t>2016-02-25</t>
  </si>
  <si>
    <t>2020-02-25</t>
  </si>
  <si>
    <t>16-27767</t>
  </si>
  <si>
    <t>AUD-076</t>
  </si>
  <si>
    <t>SEM CENOVIA</t>
  </si>
  <si>
    <t>Mise En Place D'Equipements De Peage Et De Videosurveillance Sur Le Parc De Stationnement De La Clinique Du Pre Au Mans Avec Prestations De Maintenance Associees</t>
  </si>
  <si>
    <t>2021-02-11</t>
  </si>
  <si>
    <t>2021-05-13</t>
  </si>
  <si>
    <t>20-154115</t>
  </si>
  <si>
    <t>AUD-077</t>
  </si>
  <si>
    <t>assistance à la réalisation d'applicatifs pour les SI</t>
  </si>
  <si>
    <t>PRESTATIONS D'ASSISTANCE AU PILOTAGE DANS LA MISE EN PLACE DE PROJETS DE LA COG 2020-2024</t>
  </si>
  <si>
    <t>2019-03-08</t>
  </si>
  <si>
    <t>2020-03-07</t>
  </si>
  <si>
    <t>2020-05-29</t>
  </si>
  <si>
    <t>18-166821</t>
  </si>
  <si>
    <t>20-4011</t>
  </si>
  <si>
    <t>AUD-078</t>
  </si>
  <si>
    <t>Sdis de la Mayenne</t>
  </si>
  <si>
    <t>Equipements pour Camions Citerne Grande Capacité et pour Camions Citerne Incendie pour le Service Départemental d'Incendie et de Secours de la Mayenne.</t>
  </si>
  <si>
    <t>Fourniture de petits matériels d'incendie et de secours et pièces détachées pour le Service Départemental d'Incendie et de Secours de la MAYENNE.</t>
  </si>
  <si>
    <t>2017-12-17</t>
  </si>
  <si>
    <t>2019-12-17</t>
  </si>
  <si>
    <t>2020-11-12</t>
  </si>
  <si>
    <t>17-176560</t>
  </si>
  <si>
    <t>20-52846</t>
  </si>
  <si>
    <t>AUD-079</t>
  </si>
  <si>
    <t>Assistance technique et support informatique pour le Département de Loire-Atlantique</t>
  </si>
  <si>
    <t>2019-10-26</t>
  </si>
  <si>
    <t>18-149893</t>
  </si>
  <si>
    <t>AUD-080</t>
  </si>
  <si>
    <t>EPF de la Vendée</t>
  </si>
  <si>
    <t>PRESTATIONS DE COMMUNICATION POUR L'EPF DE LA VENDEE</t>
  </si>
  <si>
    <t>2021-01-05</t>
  </si>
  <si>
    <t>20-49128</t>
  </si>
  <si>
    <t>AUD-081</t>
  </si>
  <si>
    <t>CROUS de Nantes</t>
  </si>
  <si>
    <t>Location de dispositifs de protection du travailleur isolé pour le compte du CROUS de Nantes Pays de la Loire</t>
  </si>
  <si>
    <t>Mise à disposition d'intervenants pour la réalisation de prestations intellectuelles informatiques</t>
  </si>
  <si>
    <t>2018-06-29</t>
  </si>
  <si>
    <t>2021-06-28</t>
  </si>
  <si>
    <t>2021-09-22</t>
  </si>
  <si>
    <t>18-89409</t>
  </si>
  <si>
    <t>21-125536</t>
  </si>
  <si>
    <t>AUD-082</t>
  </si>
  <si>
    <t>Prestations d'archivage pour les services et établissements publics de l'État en Pays de la Loire</t>
  </si>
  <si>
    <t>2021-06-10</t>
  </si>
  <si>
    <t>2022-03-10</t>
  </si>
  <si>
    <t>21-142218</t>
  </si>
  <si>
    <t>AUD-083</t>
  </si>
  <si>
    <t>18S0009 - tierce maintenance applicative des sites internet de la ville de Saint-Nazaire et de la Carene</t>
  </si>
  <si>
    <t>Mise à disposition d'une solution de traitement des demandes et des réponses aux Dt-Dict-Atu sur une plateforme dématérialisée</t>
  </si>
  <si>
    <t>2018-02-07</t>
  </si>
  <si>
    <t>2022-02-07</t>
  </si>
  <si>
    <t>2022-07-06</t>
  </si>
  <si>
    <t>18-15680</t>
  </si>
  <si>
    <t>22-94408</t>
  </si>
  <si>
    <t>AUD-084</t>
  </si>
  <si>
    <t>Ville de Beaucouzé</t>
  </si>
  <si>
    <t>fourniture et maintenance d'un service antenne et internet sur la commune de beaucouzé</t>
  </si>
  <si>
    <t>2019-03-27</t>
  </si>
  <si>
    <t>2021-03-26</t>
  </si>
  <si>
    <t>19-21081</t>
  </si>
  <si>
    <t>AUD-085</t>
  </si>
  <si>
    <t>Centre Hospitalier du Haut Anjou</t>
  </si>
  <si>
    <t>Prestations de services de télécommunications pour le groupement de commande liant le centre hospitalier du Haut Anjou basé à Château Gontier</t>
  </si>
  <si>
    <t>2015-06-09</t>
  </si>
  <si>
    <t>2019-06-09</t>
  </si>
  <si>
    <t>15-87511</t>
  </si>
  <si>
    <t>AUD-086</t>
  </si>
  <si>
    <t>maintenance corrective, adaptative, réglementaire et évolutive de l'application elips'pharma développée par le CHU à Nantes</t>
  </si>
  <si>
    <t>2015-05-22</t>
  </si>
  <si>
    <t>2019-05-22</t>
  </si>
  <si>
    <t>15-78916</t>
  </si>
  <si>
    <t>AUD-087</t>
  </si>
  <si>
    <t>Le présent accord-cadre a pour objet de proposer aux agents ainsi qu'aux élus de la Région des Pays de la Loire de nouveaux outils plus interactifs, basés sur les Systèmes d'Information Géog</t>
  </si>
  <si>
    <t>EVOLUTION DES SYSTEMES D'INFORMATION DES LYCEES PUBLICS ET EREA DE LA REGION DES PAYS DE LA LOIRE</t>
  </si>
  <si>
    <t>2017-07-18</t>
  </si>
  <si>
    <t>2020-07-17</t>
  </si>
  <si>
    <t>2020-07-22</t>
  </si>
  <si>
    <t>17-102708</t>
  </si>
  <si>
    <t>20-65753</t>
  </si>
  <si>
    <t>AUD-088</t>
  </si>
  <si>
    <t>fourniture, mise en oeuvre et maintenance d'une solution de gestion informatisée des processus rh de recrutement, mobilité interne et concours pour le compte du CHU à Nantes</t>
  </si>
  <si>
    <t>Fourniture, installation, paramétrage, intégration, déploiement et maintenance d'une solution de gestion informatisée du temps de travail pour l'HIPR et l'HISL</t>
  </si>
  <si>
    <t>2015-07-20</t>
  </si>
  <si>
    <t>2019-04-17</t>
  </si>
  <si>
    <t>15-111481</t>
  </si>
  <si>
    <t>19-59985</t>
  </si>
  <si>
    <t>AUD-089</t>
  </si>
  <si>
    <t>Implémentation d'un SMSI au sein du CROUS de Nantes</t>
  </si>
  <si>
    <t>Location maintenance de terminaux de paiement électroniques (TPE) pour le compte du Crous de Nantes Pays de la Loire</t>
  </si>
  <si>
    <t>2020-10-27</t>
  </si>
  <si>
    <t>2021-10-27</t>
  </si>
  <si>
    <t>20-75569</t>
  </si>
  <si>
    <t>22-38732</t>
  </si>
  <si>
    <t>AUD-090</t>
  </si>
  <si>
    <t>CHBR REG METIERS ARTISANAT NOUV AQUIT</t>
  </si>
  <si>
    <t>Marché pour la conception et la réalisation des sites internet :- de la Chambre de Métiers et d?Artisanat Interdépartementale (CMAI) 24-33-47,- des 5 sites des 3 délégations 24-33-47 et des 2 CMA..</t>
  </si>
  <si>
    <t>2019-03-01</t>
  </si>
  <si>
    <t>2023-03-01</t>
  </si>
  <si>
    <t>19-33752</t>
  </si>
  <si>
    <t>AUD-091</t>
  </si>
  <si>
    <t>Communauté de Cnes Terres de Montaigu</t>
  </si>
  <si>
    <t>installation d'un système de vidéoprotection urbaine sur le territoire de terres de montaigu</t>
  </si>
  <si>
    <t>2021-10-15</t>
  </si>
  <si>
    <t>2022-10-15</t>
  </si>
  <si>
    <t>21-137461</t>
  </si>
  <si>
    <t>AUD-092</t>
  </si>
  <si>
    <t>Communauté d'agglomération du Niortais</t>
  </si>
  <si>
    <t>La consultation porte sur la passation simultannée de deux contrats : - Un accord cadre qui a pour objet de définir les termes des marchés à passer pour la mise en place d'un marché de service p</t>
  </si>
  <si>
    <t>Fourniture d'équipements radio de communication numériques et de prestations</t>
  </si>
  <si>
    <t>2019-01-24</t>
  </si>
  <si>
    <t>2023-01-24</t>
  </si>
  <si>
    <t>2023-03-09</t>
  </si>
  <si>
    <t>19-12872</t>
  </si>
  <si>
    <t>23-32316</t>
  </si>
  <si>
    <t>AUD-093</t>
  </si>
  <si>
    <t>Communauté de Communes Vie et Boulogne</t>
  </si>
  <si>
    <t>Prestations de migration, d'hébergements et de maintenance du Système Informatique de la CCVB et de ses communes</t>
  </si>
  <si>
    <t>2020-07-05</t>
  </si>
  <si>
    <t>2022-07-05</t>
  </si>
  <si>
    <t>20-85580</t>
  </si>
  <si>
    <t>AUD-094</t>
  </si>
  <si>
    <t>DÉMARCHE ORIENTIBUS : Acquisition, paramétrage et maintenance du matériel numérique et multimédia</t>
  </si>
  <si>
    <t>REFONTE ET MAINTENANCE ASSOCIEE DES INSTALLATIONS AUDIOVISUELLES DU CAMPUS ET DES MAISONS DE LA REGION DES PAYS DE LA LOIRE</t>
  </si>
  <si>
    <t>2022-07-09</t>
  </si>
  <si>
    <t>2023-07-09</t>
  </si>
  <si>
    <t>2023-07-23</t>
  </si>
  <si>
    <t>22-95015</t>
  </si>
  <si>
    <t>23-104062</t>
  </si>
  <si>
    <t>AUD-095</t>
  </si>
  <si>
    <t>SPR Pays de la Loire</t>
  </si>
  <si>
    <t>Construction du pôle mutualisé de formations à SAUMUR (49)</t>
  </si>
  <si>
    <t>2018-07-06</t>
  </si>
  <si>
    <t>2020-01-04</t>
  </si>
  <si>
    <t>2019-05-06</t>
  </si>
  <si>
    <t>18-93359</t>
  </si>
  <si>
    <t>18-93488</t>
  </si>
  <si>
    <t>AUD-096</t>
  </si>
  <si>
    <t>Adoma</t>
  </si>
  <si>
    <t>Marché de fourniture et livraison de platines de téléphonie d'urgence et prestations associés, destinées aux différents sites Adoma</t>
  </si>
  <si>
    <t>2020-04-19</t>
  </si>
  <si>
    <t>2022-04-19</t>
  </si>
  <si>
    <t>20-54010</t>
  </si>
  <si>
    <t>AUD-097</t>
  </si>
  <si>
    <t>Développement typo 3 de la sphère web grand public</t>
  </si>
  <si>
    <t>Créations et développements numériques hors typo 3</t>
  </si>
  <si>
    <t>2018-06-25</t>
  </si>
  <si>
    <t>2019-06-25</t>
  </si>
  <si>
    <t>2019-05-14</t>
  </si>
  <si>
    <t>18-26824</t>
  </si>
  <si>
    <t>19-1779</t>
  </si>
  <si>
    <t>AUD-098</t>
  </si>
  <si>
    <t>Fourniture et pose de la signalisation des itinéraires cyclables, pédestres et équestres de la Vendée</t>
  </si>
  <si>
    <t>2019-05-16</t>
  </si>
  <si>
    <t>2020-05-15</t>
  </si>
  <si>
    <t>19-10428</t>
  </si>
  <si>
    <t>AUD-099</t>
  </si>
  <si>
    <t>Evolution des installations téléphoniques vers une solution de téléphonie sur IP</t>
  </si>
  <si>
    <t>Fourniture de station de base AIS (Automatic Identification System)</t>
  </si>
  <si>
    <t>2019-08-12</t>
  </si>
  <si>
    <t>2023-08-12</t>
  </si>
  <si>
    <t>2023-01-13</t>
  </si>
  <si>
    <t>19-48376</t>
  </si>
  <si>
    <t>23-6460</t>
  </si>
  <si>
    <t>AUD-100</t>
  </si>
  <si>
    <t>CH LE MANS</t>
  </si>
  <si>
    <t>Fourniture de liens d'interconnexion dans le cadre du GHT72</t>
  </si>
  <si>
    <t>Fourniture d'équipements de vidéoprotection, prestations associées et maintenance pour le GHT 72</t>
  </si>
  <si>
    <t>2018-12-10</t>
  </si>
  <si>
    <t>2022-12-10</t>
  </si>
  <si>
    <t>2022-10-19</t>
  </si>
  <si>
    <t>18-171623</t>
  </si>
  <si>
    <t>22-69458</t>
  </si>
  <si>
    <t>AUD-101</t>
  </si>
  <si>
    <t>Hébergement des plateformes internet des Pays de la Loire et des solutions applicatives</t>
  </si>
  <si>
    <t>Evolution des systèmes d'information et renouvellement des équipements pédagogiques numériques pour les BTS services informatiques aux organisations des lycées publics de la Région</t>
  </si>
  <si>
    <t>2021-02-26</t>
  </si>
  <si>
    <t>2022-02-26</t>
  </si>
  <si>
    <t>2021-10-08</t>
  </si>
  <si>
    <t>20-125567</t>
  </si>
  <si>
    <t>21-67771</t>
  </si>
  <si>
    <t>AUD-102</t>
  </si>
  <si>
    <t>Prestations d'ingénierie et d'expertise autour des composants d'infrastructure</t>
  </si>
  <si>
    <t>Prestations d'assistance et d'expertise autour des composants d'infrastructure de niveau 2 et 3 pour le Département et les collèges de Loire-Atlantique</t>
  </si>
  <si>
    <t>2017-03-03</t>
  </si>
  <si>
    <t>2021-03-03</t>
  </si>
  <si>
    <t>17-29415</t>
  </si>
  <si>
    <t>21-77546</t>
  </si>
  <si>
    <t>AUD-103</t>
  </si>
  <si>
    <t>Mise en oeuvre d'une solution logicielle de suivi financier des marches de travaux et de maitrise d'oeuvre, maintenance et prestations associées</t>
  </si>
  <si>
    <t>acquisition d'un outil socle de gestion des contacts et d'evenements</t>
  </si>
  <si>
    <t>2018-04-24</t>
  </si>
  <si>
    <t>2022-05-14</t>
  </si>
  <si>
    <t>18-56546</t>
  </si>
  <si>
    <t>22-69242</t>
  </si>
  <si>
    <t>AUD-104</t>
  </si>
  <si>
    <t>2022-04-28</t>
  </si>
  <si>
    <t>22-32272</t>
  </si>
  <si>
    <t>2022-06-15</t>
  </si>
  <si>
    <t>AUD-105</t>
  </si>
  <si>
    <t>ANGERS NANTES OPERA syndicat mixte</t>
  </si>
  <si>
    <t>Le marché a pour objet la fourniture de services loués de télécommunications fixes, mobiles et de données, la fourniture d'équipements de télécommunication et d'accessoires associés ainsi qu</t>
  </si>
  <si>
    <t>acquisition, mise en oeuvre complète et maintenance d'un logiciel de billetterie</t>
  </si>
  <si>
    <t>2017-04-25</t>
  </si>
  <si>
    <t>2021-04-25</t>
  </si>
  <si>
    <t>2020-10-06</t>
  </si>
  <si>
    <t>17-57345</t>
  </si>
  <si>
    <t>20-122198</t>
  </si>
  <si>
    <t>AUD-106</t>
  </si>
  <si>
    <t>tierce maintenance applicative du systeme d'aide à la décision pour le compte du groupement de commandes informatiques, à Nantes</t>
  </si>
  <si>
    <t>maintenance et extension des solutions logicielles ivanti et prestations associées - lancement d'une procédure avec négociation</t>
  </si>
  <si>
    <t>2015-11-30</t>
  </si>
  <si>
    <t>2019-11-30</t>
  </si>
  <si>
    <t>2020-01-26</t>
  </si>
  <si>
    <t>15-178791</t>
  </si>
  <si>
    <t>20-12070</t>
  </si>
  <si>
    <t>AUD-107</t>
  </si>
  <si>
    <t>DREAL BRETAGNE</t>
  </si>
  <si>
    <t>Marché de prestations informatiques (conseil, développements)</t>
  </si>
  <si>
    <t>Marché de prestations informatiques (infrastructures réseaux)</t>
  </si>
  <si>
    <t>2018-06-05</t>
  </si>
  <si>
    <t>2022-06-05</t>
  </si>
  <si>
    <t>2022-03-25</t>
  </si>
  <si>
    <t>17-165815</t>
  </si>
  <si>
    <t>22-44037</t>
  </si>
  <si>
    <t>AUD-108</t>
  </si>
  <si>
    <t>Ville de Noyal-Châtillon sur Seiche</t>
  </si>
  <si>
    <t>zac de l'ise - viabilisation d'une zac à vocation habitat</t>
  </si>
  <si>
    <t>2016-07-13</t>
  </si>
  <si>
    <t>2020-07-13</t>
  </si>
  <si>
    <t>16-104455</t>
  </si>
  <si>
    <t>AUD-109</t>
  </si>
  <si>
    <t>la numérisation de photos pour la personnalisation des cartes Vitale®, par traitement de dossiers transmis par les assurés sociaux et les organismes d'assurance Maladie au Mans (rectificatif)</t>
  </si>
  <si>
    <t>Numérisation des photos pour la personnalisation des cartes Vitale</t>
  </si>
  <si>
    <t>2016-03-31</t>
  </si>
  <si>
    <t>2020-03-31</t>
  </si>
  <si>
    <t>16-48232</t>
  </si>
  <si>
    <t>20-27358</t>
  </si>
  <si>
    <t>AUD-110</t>
  </si>
  <si>
    <t>CCAS d'Angers</t>
  </si>
  <si>
    <t>remplacement des logiciels de facturation et de gestion administrative, pour personnes agees dependantes du CCAS d'Angers</t>
  </si>
  <si>
    <t>2016-04-19</t>
  </si>
  <si>
    <t>2017-06-19</t>
  </si>
  <si>
    <t>16-55493</t>
  </si>
  <si>
    <t>AUD-111</t>
  </si>
  <si>
    <t>fourniture de documents audiovisuels pour le bibliopôle</t>
  </si>
  <si>
    <t>fourniture, mise en oeuvre et maintenance d'équipements de réseau informatique</t>
  </si>
  <si>
    <t>2020-12-19</t>
  </si>
  <si>
    <t>2020-07-27</t>
  </si>
  <si>
    <t>19-185581</t>
  </si>
  <si>
    <t>20-70680</t>
  </si>
  <si>
    <t>AUD-112</t>
  </si>
  <si>
    <t>COM D AGGLO REG NAZAIRIENNE ESTUAIRE</t>
  </si>
  <si>
    <t>Acquisition et maintenance d'un logiciel de suivi-évaluation des politiques publiques</t>
  </si>
  <si>
    <t>2021041215mc - Acquisition et maintenance d'un logiciel de gestion de la relation client type Crm (Customer Relationship Management)</t>
  </si>
  <si>
    <t>2021-01-07</t>
  </si>
  <si>
    <t>2022-01-07</t>
  </si>
  <si>
    <t>2021-10-01</t>
  </si>
  <si>
    <t>20-107792</t>
  </si>
  <si>
    <t>21-67958</t>
  </si>
  <si>
    <t>AUD-113</t>
  </si>
  <si>
    <t>MAIRIE DE BAUGE EN ANJOU</t>
  </si>
  <si>
    <t>hébergement et infogérance du système d'information de la commune nouvelle de Baugé en Anjou</t>
  </si>
  <si>
    <t>restauration et requalification du tribunal en maison du citoyen connecté restauration et aménagement intérieur du tribunal</t>
  </si>
  <si>
    <t>2019-09-24</t>
  </si>
  <si>
    <t>2023-09-24</t>
  </si>
  <si>
    <t>2023-07-12</t>
  </si>
  <si>
    <t>19-99589</t>
  </si>
  <si>
    <t>23-97071</t>
  </si>
  <si>
    <t>AUD-114</t>
  </si>
  <si>
    <t>intégration du système d'archivage électronique as@lae sur une infrastructure mutualisée</t>
  </si>
  <si>
    <t>Achat, mise en oeuvre, maintenance et hébergement d'un outil numérique en santé pour la protection maternelle et infantile et prestations associées</t>
  </si>
  <si>
    <t>2016-12-26</t>
  </si>
  <si>
    <t>2022-12-26</t>
  </si>
  <si>
    <t>2022-09-30</t>
  </si>
  <si>
    <t>16-111867</t>
  </si>
  <si>
    <t>22-127882</t>
  </si>
  <si>
    <t>AUD-115</t>
  </si>
  <si>
    <t>marché pour la fourniture des effets d'habillement et accessoires pour le sdis 53 à Laval</t>
  </si>
  <si>
    <t>acquisition, mise en oeuvre et maintenance d'une ged pour les dossiers individuels</t>
  </si>
  <si>
    <t>2015-09-07</t>
  </si>
  <si>
    <t>2019-09-07</t>
  </si>
  <si>
    <t>2018-11-10</t>
  </si>
  <si>
    <t>15-136371</t>
  </si>
  <si>
    <t>18-154990</t>
  </si>
  <si>
    <t>AUD-116</t>
  </si>
  <si>
    <t>Hébergement et infogérance de la solution de gestion de dossiers électronique de l'inventaire</t>
  </si>
  <si>
    <t>PRESTATIONS D'ASSISTANCE EN ADMINISTRATION DE SYSTEMES</t>
  </si>
  <si>
    <t>2018-03-22</t>
  </si>
  <si>
    <t>2022-03-22</t>
  </si>
  <si>
    <t>2022-01-10</t>
  </si>
  <si>
    <t>17-171316</t>
  </si>
  <si>
    <t>21-126684</t>
  </si>
  <si>
    <t>AUD-117</t>
  </si>
  <si>
    <t>CESAME - CH de Sainte Gemmes sur Loire</t>
  </si>
  <si>
    <t>infrastructure de serveur, de stockage et de sauvegarde</t>
  </si>
  <si>
    <t>2017-06-25</t>
  </si>
  <si>
    <t>17-88463</t>
  </si>
  <si>
    <t>AUD-118</t>
  </si>
  <si>
    <t>Acquisition et maintenance de licences Business Objects</t>
  </si>
  <si>
    <t>Acquisition, abonnement, prestations diverses et maintenance de logiciels divers pour les établissements du GHT 72</t>
  </si>
  <si>
    <t>2021-02-08</t>
  </si>
  <si>
    <t>2022-02-08</t>
  </si>
  <si>
    <t>20-115241</t>
  </si>
  <si>
    <t>21-139293</t>
  </si>
  <si>
    <t>AUD-119</t>
  </si>
  <si>
    <t>VILLE DE LA ROCHE SUR YON</t>
  </si>
  <si>
    <t>Equipements pour une salle de basket-ball</t>
  </si>
  <si>
    <t>2018-04-05</t>
  </si>
  <si>
    <t>2018-07-05</t>
  </si>
  <si>
    <t>18-3854</t>
  </si>
  <si>
    <t>19-62635</t>
  </si>
  <si>
    <t>2019-04-21</t>
  </si>
  <si>
    <t>AUD-120</t>
  </si>
  <si>
    <t>18s0048 - assistance et formation à la mise en place de qgis/qgis server et postgres/postgis pour la carene</t>
  </si>
  <si>
    <t>2018-06-01</t>
  </si>
  <si>
    <t>2021-05-31</t>
  </si>
  <si>
    <t>18-73364</t>
  </si>
  <si>
    <t>AUD-121</t>
  </si>
  <si>
    <t>RESIDENCES SAINT ALEXANDRE</t>
  </si>
  <si>
    <t>evolution du système d'information autour du dossier du résident informatisé, à Mortagne Sur Sevre</t>
  </si>
  <si>
    <t>2015-04-07</t>
  </si>
  <si>
    <t>2019-04-07</t>
  </si>
  <si>
    <t>15-51571</t>
  </si>
  <si>
    <t>AUD-122</t>
  </si>
  <si>
    <t>SHEMA</t>
  </si>
  <si>
    <t>construction d'un complexe culturel salles de cinéma - salle de spectacles à l'aigle</t>
  </si>
  <si>
    <t>construction d'un complexe culturel salles de cinéma - salle de spectacles à l'aigle - relance des lots 06-10-15-16</t>
  </si>
  <si>
    <t>2019-11-28</t>
  </si>
  <si>
    <t>2021-05-28</t>
  </si>
  <si>
    <t>2020-06-05</t>
  </si>
  <si>
    <t>19-177220</t>
  </si>
  <si>
    <t>20-71239</t>
  </si>
  <si>
    <t>AUD-123</t>
  </si>
  <si>
    <t>20-76296</t>
  </si>
  <si>
    <t>2020-06-17</t>
  </si>
  <si>
    <t>AUD-124</t>
  </si>
  <si>
    <t>Ville d'Orvault</t>
  </si>
  <si>
    <t>Maintenance équipement sécurité incendie</t>
  </si>
  <si>
    <t>2016-10-20</t>
  </si>
  <si>
    <t>2019-10-20</t>
  </si>
  <si>
    <t>16-153566</t>
  </si>
  <si>
    <t>20-48669</t>
  </si>
  <si>
    <t>2020-04-03</t>
  </si>
  <si>
    <t>AUD-125</t>
  </si>
  <si>
    <t>maintenance des équipements de sécurité informatique</t>
  </si>
  <si>
    <t>refonte et maintenance du site internet de la ville et de l'agglomération de la roche-sur-yon</t>
  </si>
  <si>
    <t>2019-10-18</t>
  </si>
  <si>
    <t>2023-10-18</t>
  </si>
  <si>
    <t>23-6087</t>
  </si>
  <si>
    <t>AUD-126</t>
  </si>
  <si>
    <t>Commune de VALLONS-DE-L'ERDRE</t>
  </si>
  <si>
    <t>Renouvellement du système informatique et téléphonique de la commune de VALLONS-DE-L'ERDRE (44)</t>
  </si>
  <si>
    <t>2022-11-28</t>
  </si>
  <si>
    <t>2023-11-28</t>
  </si>
  <si>
    <t>22-102718</t>
  </si>
  <si>
    <t>AUD-127</t>
  </si>
  <si>
    <t>Fourniture d'un outil d'autodiagnostic managérial pour les besoins du GHT 44</t>
  </si>
  <si>
    <t>2018-01-16</t>
  </si>
  <si>
    <t>2019-01-16</t>
  </si>
  <si>
    <t>18-6884</t>
  </si>
  <si>
    <t>AUD-128</t>
  </si>
  <si>
    <t>maintenance, exploitation et extension du réseau de téléphonie</t>
  </si>
  <si>
    <t>affaire no17s0021 - acquisition mise en oeuvre et maintenance d'une solution logicielle pour la gestion des arrêtés et du suivi de travaux sur l'espace public pour la ville de saint-nazaire</t>
  </si>
  <si>
    <t>2016-06-06</t>
  </si>
  <si>
    <t>2017-06-06</t>
  </si>
  <si>
    <t>2017-07-05</t>
  </si>
  <si>
    <t>16-79797</t>
  </si>
  <si>
    <t>17-39998</t>
  </si>
  <si>
    <t>AUD-129</t>
  </si>
  <si>
    <t>Achat d'articles répondant aux besoins des associations ou des manifestations à caractère promotionnel</t>
  </si>
  <si>
    <t>Mise à disposition, exploitation et maintenance d'un réseau privé virtuel entre les collèges publics et le Département</t>
  </si>
  <si>
    <t>2019-04-01</t>
  </si>
  <si>
    <t>2020-03-11</t>
  </si>
  <si>
    <t>19-51855</t>
  </si>
  <si>
    <t>19-181393</t>
  </si>
  <si>
    <t>AUD-130</t>
  </si>
  <si>
    <t>O.P.H LE MANS HABITAT</t>
  </si>
  <si>
    <t>Fourniture d'un progiciel de gestion d'immobilier social, de prestations de services associées et maintenance pour Le Mans Habitat</t>
  </si>
  <si>
    <t>2016-05-30</t>
  </si>
  <si>
    <t>2022-05-30</t>
  </si>
  <si>
    <t>16-78018</t>
  </si>
  <si>
    <t>AUD-131</t>
  </si>
  <si>
    <t>MAINTENANCE ET EVOLUTIONS DU SYSTEME DE STOCKAGE DES DONNEES</t>
  </si>
  <si>
    <t>Réalisation de comptages et enquêtes dans les trains et les cars Aléop en Pays de la Loire</t>
  </si>
  <si>
    <t>2021-06-14</t>
  </si>
  <si>
    <t>2023-06-14</t>
  </si>
  <si>
    <t>21-26779</t>
  </si>
  <si>
    <t>23-73693</t>
  </si>
  <si>
    <t>AUD-132</t>
  </si>
  <si>
    <t>Réseau Canopé</t>
  </si>
  <si>
    <t>20-008 Prestations de conception et développement numériques</t>
  </si>
  <si>
    <t>Réalisation, aménagement fonctionnel aux besoins et mise à disposition de la plateforme événementielle In-FINE, configuration et intégration des informations In-FINE, prestations techniques et moye..</t>
  </si>
  <si>
    <t>2020-02-15</t>
  </si>
  <si>
    <t>2021-02-14</t>
  </si>
  <si>
    <t>2021-01-25</t>
  </si>
  <si>
    <t>20-23104</t>
  </si>
  <si>
    <t>21-11209</t>
  </si>
  <si>
    <t>AUD-133</t>
  </si>
  <si>
    <t>Etude et mise en oeuvre de la visibilité et la lisibilité des sites de l'université de Nantes</t>
  </si>
  <si>
    <t>acquisition, installation et mise en service d'un ensemble d'équipements scénique et de vidéoprojection pour la salle de spectacle du centre socioculturel de bellevue</t>
  </si>
  <si>
    <t>2023-05-24</t>
  </si>
  <si>
    <t>2023-04-12</t>
  </si>
  <si>
    <t>19-80203</t>
  </si>
  <si>
    <t>23-48831</t>
  </si>
  <si>
    <t>AUD-134</t>
  </si>
  <si>
    <t>fourniture et installation de bornes d'information voyageurs (b.i.v) aux arrêts de bus</t>
  </si>
  <si>
    <t>marché de construction, installation, et maintenance d'un modèle de déplacement sur le territoire d'angers loire métropole</t>
  </si>
  <si>
    <t>2022-12-09</t>
  </si>
  <si>
    <t>2023-12-09</t>
  </si>
  <si>
    <t>2023-11-13</t>
  </si>
  <si>
    <t>22-162609</t>
  </si>
  <si>
    <t>23-23753</t>
  </si>
  <si>
    <t>AUD-135</t>
  </si>
  <si>
    <t>Maintenance, prestations spécifiques et fournitures associées aux outils Business Objects, I-Parapheur et Pastell, Etl-Talend, et Suitecrm</t>
  </si>
  <si>
    <t>Maintenance, prestations spécifiques et fournitures associées aux outils I-Parapheur et Pastell</t>
  </si>
  <si>
    <t>2019-01-09</t>
  </si>
  <si>
    <t>2021-01-08</t>
  </si>
  <si>
    <t>2021-03-11</t>
  </si>
  <si>
    <t>18-133090</t>
  </si>
  <si>
    <t>20-155309</t>
  </si>
  <si>
    <t>AUD-136</t>
  </si>
  <si>
    <t>Ville de Nantes</t>
  </si>
  <si>
    <t>1727AOOF</t>
  </si>
  <si>
    <t>location, installation et mise en service de matériels de projection, de son et de câblages pour les élections : présidentielles, législatives de 2022 et les élections européennes de 2024</t>
  </si>
  <si>
    <t>2022-02-01</t>
  </si>
  <si>
    <t>2021-11-17</t>
  </si>
  <si>
    <t>17-144102</t>
  </si>
  <si>
    <t>21-152470</t>
  </si>
  <si>
    <t>AUD-137</t>
  </si>
  <si>
    <t>DEPARTEMENT DE LA MAYENNE</t>
  </si>
  <si>
    <t>Déploiement d'une plateforme départementale de mise en relation des Mayennais en vue de développer des actions d'entraide bénévoles</t>
  </si>
  <si>
    <t>Mise en oeuvre d'une plateforme d'échange, maintenance et prestations associées</t>
  </si>
  <si>
    <t>2023-09-13</t>
  </si>
  <si>
    <t>22-162095</t>
  </si>
  <si>
    <t>23-66104</t>
  </si>
  <si>
    <t>AUD-138</t>
  </si>
  <si>
    <t>2022-06-10</t>
  </si>
  <si>
    <t>24-13163</t>
  </si>
  <si>
    <t>2024-02-04</t>
  </si>
  <si>
    <t>AUD-139</t>
  </si>
  <si>
    <t>SISTO</t>
  </si>
  <si>
    <t>Travaux de réhabilitation des déchèteries du Lion d'Angers et de Sainte Gemmes d'Andigné</t>
  </si>
  <si>
    <t>2018-11-22</t>
  </si>
  <si>
    <t>2022-11-22</t>
  </si>
  <si>
    <t>18-163164</t>
  </si>
  <si>
    <t>AUD-140</t>
  </si>
  <si>
    <t>16s0027 - fourniture d'un service de hotspot 'wifi public'groupement de commandes entre la ville de saint-nazaire, et la ville de pornichet dont le coordonnateur est : la ville de saint nazaire</t>
  </si>
  <si>
    <t>Fourniture d'un service de hotspot " Wifi Public "</t>
  </si>
  <si>
    <t>2016-09-09</t>
  </si>
  <si>
    <t>2020-09-09</t>
  </si>
  <si>
    <t>2020-09-28</t>
  </si>
  <si>
    <t>16-73319</t>
  </si>
  <si>
    <t>20-70268</t>
  </si>
  <si>
    <t>AUD-141</t>
  </si>
  <si>
    <t>Hopital Intercommunal Sèvre et Loire</t>
  </si>
  <si>
    <t>reconstruction du site hospitalier du loroux-bottereau et la restructuration partielle du site de Vertou à Le Loroux Bottereau</t>
  </si>
  <si>
    <t>2016-09-05</t>
  </si>
  <si>
    <t>2020-09-05</t>
  </si>
  <si>
    <t>16-45436</t>
  </si>
  <si>
    <t>AUD-142</t>
  </si>
  <si>
    <t>18s0030 fourniture d'un équipement d'inspection télévisée des réseaux d'assainissement et d'un logiciel d'édition des rapports d'inspection pour la carene</t>
  </si>
  <si>
    <t>2018-04-27</t>
  </si>
  <si>
    <t>2022-04-27</t>
  </si>
  <si>
    <t>18-55179</t>
  </si>
  <si>
    <t>AUD-143</t>
  </si>
  <si>
    <t>Solution de podcasting et de diffusion en direct sur les Campus de l'Université d'Angers</t>
  </si>
  <si>
    <t>Fourniture d'équipements audiovisuels et visioconférence</t>
  </si>
  <si>
    <t>2017-07-19</t>
  </si>
  <si>
    <t>2020-07-18</t>
  </si>
  <si>
    <t>2019-12-22</t>
  </si>
  <si>
    <t>17-102187</t>
  </si>
  <si>
    <t>19-190328</t>
  </si>
  <si>
    <t>AUD-144</t>
  </si>
  <si>
    <t>Mairie de Saint Etienne de Montluc</t>
  </si>
  <si>
    <t>Fourniture, mise en oeuvre et maintenance d'un système de vidéo protection urbaine</t>
  </si>
  <si>
    <t>Acquisition, installation, formation et maintenance d'équipements de réseaux et d'un système de téléphonie sur IP</t>
  </si>
  <si>
    <t>2021-06-24</t>
  </si>
  <si>
    <t>2021-10-23</t>
  </si>
  <si>
    <t>2022-09-12</t>
  </si>
  <si>
    <t>21-39936</t>
  </si>
  <si>
    <t>22-122102</t>
  </si>
  <si>
    <t>AUD-145</t>
  </si>
  <si>
    <t>Acquisition d'un outil de control de sérialisation et de maintenance pour les établissements parties du GHT 72</t>
  </si>
  <si>
    <t>2022-01-08</t>
  </si>
  <si>
    <t>19-3707</t>
  </si>
  <si>
    <t>AUD-146</t>
  </si>
  <si>
    <t>AGCE POUR L ENST FR A L ETRANGER</t>
  </si>
  <si>
    <t>MISE A DISPOSITION D'UNE SOLUTION LOGICIELLE INFORMATIQUE DE GESTION BUDGETAIRE ET COMPTABLE ET SERVICES ASSOCIES</t>
  </si>
  <si>
    <t>19-8820</t>
  </si>
  <si>
    <t>AUD-147</t>
  </si>
  <si>
    <t>Département de la Sarthe</t>
  </si>
  <si>
    <t>DEPARTEMENT DE LA SARTHE</t>
  </si>
  <si>
    <t>FOURNITURE, LIVRAISON, MISE EN SERVICE REGULIER ET MAINTENANCE SUR 5 ANS D'UN PROGICIEL DE GESTION DE LA TARIFICATION DES ETABLISSEMENTS ET SERVICES POUR PERSONNES AGEES, HANDICAPEEES ET ENFANCE</t>
  </si>
  <si>
    <t>Prestations de services de maintien en condition opérationnelle des réseaux informatiques et des installations de téléphonie sur Ip des services du Département et des collèges publ</t>
  </si>
  <si>
    <t>2017-01-19</t>
  </si>
  <si>
    <t>2021-01-19</t>
  </si>
  <si>
    <t>2021-03-15</t>
  </si>
  <si>
    <t>17-8714</t>
  </si>
  <si>
    <t>20-150503</t>
  </si>
  <si>
    <t>AUD-148</t>
  </si>
  <si>
    <t>Prestations de services de télécommunications pour le Département de la Sarthe</t>
  </si>
  <si>
    <t>Services de télécommunications du Département de la Sarthe</t>
  </si>
  <si>
    <t>2015-08-10</t>
  </si>
  <si>
    <t>2019-08-10</t>
  </si>
  <si>
    <t>2019-08-02</t>
  </si>
  <si>
    <t>15-124226</t>
  </si>
  <si>
    <t>19-71679</t>
  </si>
  <si>
    <t>AUD-149</t>
  </si>
  <si>
    <t>Signalétique événementielle</t>
  </si>
  <si>
    <t>2020-01-21</t>
  </si>
  <si>
    <t>2023-01-20</t>
  </si>
  <si>
    <t>20-9474</t>
  </si>
  <si>
    <t>AUD-150</t>
  </si>
  <si>
    <t>LA GARNACHE</t>
  </si>
  <si>
    <t>Fourniture et installation de systèmes de vidéosurveillance avec contrat de maintenance associé</t>
  </si>
  <si>
    <t>2022-01-31</t>
  </si>
  <si>
    <t>2022-05-02</t>
  </si>
  <si>
    <t>22-15926</t>
  </si>
  <si>
    <t>23-152074</t>
  </si>
  <si>
    <t>2023-10-29</t>
  </si>
  <si>
    <t>contract_id</t>
  </si>
  <si>
    <t>renewal_contract_id</t>
  </si>
  <si>
    <t>category</t>
  </si>
  <si>
    <t>observed_duration_months</t>
  </si>
  <si>
    <t>declared_duration_months</t>
  </si>
  <si>
    <t>n_candidates</t>
  </si>
  <si>
    <t>high_confidence_strict</t>
  </si>
  <si>
    <t>BOAMP:21-53955</t>
  </si>
  <si>
    <t>IT Services &amp; Consulting</t>
  </si>
  <si>
    <t>BOAMP:18-105237</t>
  </si>
  <si>
    <t>BOAMP:19-32405</t>
  </si>
  <si>
    <t>Cybersecurity</t>
  </si>
  <si>
    <t>BOAMP:15-83632</t>
  </si>
  <si>
    <t>BOAMP:18-76556</t>
  </si>
  <si>
    <t>BOAMP:19-190109</t>
  </si>
  <si>
    <t>BOAMP:17-25253</t>
  </si>
  <si>
    <t>Software &amp; Applications</t>
  </si>
  <si>
    <t>BOAMP:16-62960</t>
  </si>
  <si>
    <t>BOAMP:20-38676</t>
  </si>
  <si>
    <t>BOAMP:16-105530</t>
  </si>
  <si>
    <t>Telecom &amp; Networks</t>
  </si>
  <si>
    <t>BOAMP:16-16627</t>
  </si>
  <si>
    <t>BOAMP:19-160471</t>
  </si>
  <si>
    <t>Digital Workplace &amp; Collaboration</t>
  </si>
  <si>
    <t>BOAMP:17-128615</t>
  </si>
  <si>
    <t>BOAMP:17-147216</t>
  </si>
  <si>
    <t>Unknown</t>
  </si>
  <si>
    <t>BOAMP:19-125270</t>
  </si>
  <si>
    <t>BOAMP:23-61217</t>
  </si>
  <si>
    <t>BOAMP:17-124586</t>
  </si>
  <si>
    <t>BOAMP:20-114106</t>
  </si>
  <si>
    <t>BOAMP:21-130956</t>
  </si>
  <si>
    <t>BOAMP:23-174149</t>
  </si>
  <si>
    <t>BOAMP:17-168569</t>
  </si>
  <si>
    <t>BOAMP:22-21573</t>
  </si>
  <si>
    <t>GIS &amp; Mapping</t>
  </si>
  <si>
    <t>BOAMP:17-159373</t>
  </si>
  <si>
    <t>BOAMP:22-87982</t>
  </si>
  <si>
    <t>BOAMP:16-30715</t>
  </si>
  <si>
    <t>BOAMP:23-31948</t>
  </si>
  <si>
    <t>BOAMP:17-119142</t>
  </si>
  <si>
    <t>BOAMP:16-98835</t>
  </si>
  <si>
    <t>BOAMP:17-104307</t>
  </si>
  <si>
    <t>BOAMP:21-169350</t>
  </si>
  <si>
    <t>BOAMP:16-85662</t>
  </si>
  <si>
    <t>BOAMP:17-68186</t>
  </si>
  <si>
    <t>BOAMP:20-12202</t>
  </si>
  <si>
    <t>BOAMP:19-8916</t>
  </si>
  <si>
    <t>BOAMP:19-176963</t>
  </si>
  <si>
    <t>BOAMP:15-47591</t>
  </si>
  <si>
    <t>BOAMP:17-55172</t>
  </si>
  <si>
    <t>BOAMP:19-180395</t>
  </si>
  <si>
    <t>BOAMP:22-103042</t>
  </si>
  <si>
    <t>BOAMP:17-71849</t>
  </si>
  <si>
    <t>BOAMP:18-30222</t>
  </si>
  <si>
    <t>BOAMP:18-174875</t>
  </si>
  <si>
    <t>BOAMP:23-34854</t>
  </si>
  <si>
    <t>BOAMP:15-63153</t>
  </si>
  <si>
    <t>BOAMP:19-75795</t>
  </si>
  <si>
    <t>BOAMP:16-42170</t>
  </si>
  <si>
    <t>BOAMP:19-39750</t>
  </si>
  <si>
    <t>BOAMP:18-88858</t>
  </si>
  <si>
    <t>BOAMP:20-109382</t>
  </si>
  <si>
    <t>BOAMP:15-96106</t>
  </si>
  <si>
    <t>BOAMP:19-103125</t>
  </si>
  <si>
    <t>BOAMP:18-146639</t>
  </si>
  <si>
    <t>BOAMP:19-119207</t>
  </si>
  <si>
    <t>BOAMP:16-97484</t>
  </si>
  <si>
    <t>BOAMP:20-27109</t>
  </si>
  <si>
    <t>BOAMP:20-61130</t>
  </si>
  <si>
    <t>BOAMP:20-137453</t>
  </si>
  <si>
    <t>BOAMP:21-123669</t>
  </si>
  <si>
    <t>Data &amp; AI</t>
  </si>
  <si>
    <t>BOAMP:15-44999</t>
  </si>
  <si>
    <t>BOAMP:19-126819</t>
  </si>
  <si>
    <t>BOAMP:21-102565</t>
  </si>
  <si>
    <t>BOAMP:22-19299</t>
  </si>
  <si>
    <t>BOAMP:16-63342</t>
  </si>
  <si>
    <t>BOAMP:20-132336</t>
  </si>
  <si>
    <t>BOAMP:22-72719</t>
  </si>
  <si>
    <t>BOAMP:23-47137</t>
  </si>
  <si>
    <t>BOAMP:19-81470</t>
  </si>
  <si>
    <t>BOAMP:20-68352</t>
  </si>
  <si>
    <t>BOAMP:20-70265</t>
  </si>
  <si>
    <t>BOAMP:22-51860</t>
  </si>
  <si>
    <t>BOAMP:19-27651</t>
  </si>
  <si>
    <t>BOAMP:15-96786</t>
  </si>
  <si>
    <t>BOAMP:19-48030</t>
  </si>
  <si>
    <t>BOAMP:23-43054</t>
  </si>
  <si>
    <t>BOAMP:19-174412</t>
  </si>
  <si>
    <t>BOAMP:22-141031</t>
  </si>
  <si>
    <t>BOAMP:21-86124</t>
  </si>
  <si>
    <t>BOAMP:20-57925</t>
  </si>
  <si>
    <t>BOAMP:21-63730</t>
  </si>
  <si>
    <t>BOAMP:16-172095</t>
  </si>
  <si>
    <t>BOAMP:17-127198</t>
  </si>
  <si>
    <t>BOAMP:18-135728</t>
  </si>
  <si>
    <t>BOAMP:19-174098</t>
  </si>
  <si>
    <t>BOAMP:21-116891</t>
  </si>
  <si>
    <t>BOAMP:16-56502</t>
  </si>
  <si>
    <t>BOAMP:17-39457</t>
  </si>
  <si>
    <t>BOAMP:18-87219</t>
  </si>
  <si>
    <t>BOAMP:18-101437</t>
  </si>
  <si>
    <t>BOAMP:18-121819</t>
  </si>
  <si>
    <t>BOAMP:15-98976</t>
  </si>
  <si>
    <t>BOAMP:17-44758</t>
  </si>
  <si>
    <t>BOAMP:18-149889</t>
  </si>
  <si>
    <t>BOAMP:17-143241</t>
  </si>
  <si>
    <t>BOAMP:23-60788</t>
  </si>
  <si>
    <t>BOAMP:21-50135</t>
  </si>
  <si>
    <t>BOAMP:23-101767</t>
  </si>
  <si>
    <t>BOAMP:18-103319</t>
  </si>
  <si>
    <t>BOAMP:19-41115</t>
  </si>
  <si>
    <t>BOAMP:16-151887</t>
  </si>
  <si>
    <t>BOAMP:16-81005</t>
  </si>
  <si>
    <t>BOAMP:17-68883</t>
  </si>
  <si>
    <t>BOAMP:17-179112</t>
  </si>
  <si>
    <t>BOAMP:22-39891</t>
  </si>
  <si>
    <t>BOAMP:20-6485</t>
  </si>
  <si>
    <t>BOAMP:20-72791</t>
  </si>
  <si>
    <t>BOAMP:21-126360</t>
  </si>
  <si>
    <t>BOAMP:17-22230</t>
  </si>
  <si>
    <t>BOAMP:17-93952</t>
  </si>
  <si>
    <t>BOAMP:19-169855</t>
  </si>
  <si>
    <t>BOAMP:18-58840</t>
  </si>
  <si>
    <t>IT Hardware &amp; Equipment</t>
  </si>
  <si>
    <t>BOAMP:15-52664</t>
  </si>
  <si>
    <t>BOAMP:19-34512</t>
  </si>
  <si>
    <t>BOAMP:17-58113</t>
  </si>
  <si>
    <t>BOAMP:19-177026</t>
  </si>
  <si>
    <t>IT Maintenance &amp; Support</t>
  </si>
  <si>
    <t>BOAMP:15-139094</t>
  </si>
  <si>
    <t>BOAMP:17-173975</t>
  </si>
  <si>
    <t>BOAMP:19-137030</t>
  </si>
  <si>
    <t>BOAMP:17-79002</t>
  </si>
  <si>
    <t>BOAMP:20-140005</t>
  </si>
  <si>
    <t>BOAMP:23-87983</t>
  </si>
  <si>
    <t>BOAMP:18-67939</t>
  </si>
  <si>
    <t>BOAMP:16-27767</t>
  </si>
  <si>
    <t>BOAMP:20-154115</t>
  </si>
  <si>
    <t>BOAMP:18-166821</t>
  </si>
  <si>
    <t>BOAMP:20-4011</t>
  </si>
  <si>
    <t>BOAMP:17-176560</t>
  </si>
  <si>
    <t>BOAMP:20-52846</t>
  </si>
  <si>
    <t>BOAMP:18-149893</t>
  </si>
  <si>
    <t>BOAMP:20-49128</t>
  </si>
  <si>
    <t>BOAMP:18-89409</t>
  </si>
  <si>
    <t>BOAMP:21-125536</t>
  </si>
  <si>
    <t>BOAMP:21-142218</t>
  </si>
  <si>
    <t>BOAMP:18-15680</t>
  </si>
  <si>
    <t>BOAMP:22-94408</t>
  </si>
  <si>
    <t>BOAMP:19-21081</t>
  </si>
  <si>
    <t>BOAMP:15-87511</t>
  </si>
  <si>
    <t>BOAMP:15-78916</t>
  </si>
  <si>
    <t>BOAMP:17-102708</t>
  </si>
  <si>
    <t>BOAMP:20-65753</t>
  </si>
  <si>
    <t>BOAMP:15-111481</t>
  </si>
  <si>
    <t>BOAMP:19-59985</t>
  </si>
  <si>
    <t>BOAMP:20-75569</t>
  </si>
  <si>
    <t>BOAMP:22-38732</t>
  </si>
  <si>
    <t>BOAMP:19-33752</t>
  </si>
  <si>
    <t>BOAMP:21-137461</t>
  </si>
  <si>
    <t>BOAMP:19-12872</t>
  </si>
  <si>
    <t>BOAMP:23-32316</t>
  </si>
  <si>
    <t>BOAMP:20-85580</t>
  </si>
  <si>
    <t>BOAMP:22-95015</t>
  </si>
  <si>
    <t>BOAMP:23-104062</t>
  </si>
  <si>
    <t>BOAMP:18-93359</t>
  </si>
  <si>
    <t>BOAMP:18-93488</t>
  </si>
  <si>
    <t>BOAMP:20-54010</t>
  </si>
  <si>
    <t>BOAMP:18-26824</t>
  </si>
  <si>
    <t>BOAMP:19-1779</t>
  </si>
  <si>
    <t>BOAMP:19-10428</t>
  </si>
  <si>
    <t>BOAMP:19-48376</t>
  </si>
  <si>
    <t>BOAMP:23-6460</t>
  </si>
  <si>
    <t>BOAMP:18-171623</t>
  </si>
  <si>
    <t>BOAMP:22-69458</t>
  </si>
  <si>
    <t>BOAMP:20-125567</t>
  </si>
  <si>
    <t>BOAMP:21-67771</t>
  </si>
  <si>
    <t>Cloud &amp; Infrastructure</t>
  </si>
  <si>
    <t>BOAMP:17-29415</t>
  </si>
  <si>
    <t>BOAMP:21-77546</t>
  </si>
  <si>
    <t>BOAMP:18-56546</t>
  </si>
  <si>
    <t>BOAMP:22-69242</t>
  </si>
  <si>
    <t>BOAMP:17-57345</t>
  </si>
  <si>
    <t>BOAMP:20-122198</t>
  </si>
  <si>
    <t>BOAMP:15-178791</t>
  </si>
  <si>
    <t>BOAMP:20-12070</t>
  </si>
  <si>
    <t>BOAMP:17-165815</t>
  </si>
  <si>
    <t>BOAMP:22-44037</t>
  </si>
  <si>
    <t>BOAMP:16-104455</t>
  </si>
  <si>
    <t>BOAMP:16-48232</t>
  </si>
  <si>
    <t>BOAMP:20-27358</t>
  </si>
  <si>
    <t>BOAMP:16-55493</t>
  </si>
  <si>
    <t>BOAMP:19-185581</t>
  </si>
  <si>
    <t>BOAMP:20-70680</t>
  </si>
  <si>
    <t>BOAMP:20-107792</t>
  </si>
  <si>
    <t>BOAMP:21-67958</t>
  </si>
  <si>
    <t>BOAMP:19-99589</t>
  </si>
  <si>
    <t>BOAMP:23-97071</t>
  </si>
  <si>
    <t>BOAMP:16-111867</t>
  </si>
  <si>
    <t>BOAMP:22-127882</t>
  </si>
  <si>
    <t>BOAMP:15-136371</t>
  </si>
  <si>
    <t>BOAMP:18-154990</t>
  </si>
  <si>
    <t>BOAMP:17-171316</t>
  </si>
  <si>
    <t>BOAMP:21-126684</t>
  </si>
  <si>
    <t>BOAMP:17-88463</t>
  </si>
  <si>
    <t>BOAMP:20-115241</t>
  </si>
  <si>
    <t>BOAMP:21-139293</t>
  </si>
  <si>
    <t>BOAMP:18-3854</t>
  </si>
  <si>
    <t>BOAMP:18-73364</t>
  </si>
  <si>
    <t>BOAMP:15-51571</t>
  </si>
  <si>
    <t>BOAMP:19-177220</t>
  </si>
  <si>
    <t>BOAMP:20-71239</t>
  </si>
  <si>
    <t>BOAMP:16-153566</t>
  </si>
  <si>
    <t>BOAMP:19-62635</t>
  </si>
  <si>
    <t>BOAMP:23-6087</t>
  </si>
  <si>
    <t>BOAMP:22-102718</t>
  </si>
  <si>
    <t>BOAMP:18-6884</t>
  </si>
  <si>
    <t>BOAMP:16-79797</t>
  </si>
  <si>
    <t>BOAMP:17-39998</t>
  </si>
  <si>
    <t>BOAMP:19-51855</t>
  </si>
  <si>
    <t>BOAMP:19-181393</t>
  </si>
  <si>
    <t>BOAMP:16-78018</t>
  </si>
  <si>
    <t>BOAMP:21-26779</t>
  </si>
  <si>
    <t>BOAMP:23-73693</t>
  </si>
  <si>
    <t>BOAMP:20-23104</t>
  </si>
  <si>
    <t>BOAMP:21-11209</t>
  </si>
  <si>
    <t>BOAMP:19-80203</t>
  </si>
  <si>
    <t>BOAMP:23-48831</t>
  </si>
  <si>
    <t>BOAMP:22-162609</t>
  </si>
  <si>
    <t>BOAMP:23-23753</t>
  </si>
  <si>
    <t>BOAMP:18-133090</t>
  </si>
  <si>
    <t>BOAMP:20-155309</t>
  </si>
  <si>
    <t>BOAMP:17-144102</t>
  </si>
  <si>
    <t>BOAMP:21-152470</t>
  </si>
  <si>
    <t>BOAMP:22-162095</t>
  </si>
  <si>
    <t>BOAMP:23-66104</t>
  </si>
  <si>
    <t>BOAMP:18-163164</t>
  </si>
  <si>
    <t>BOAMP:16-73319</t>
  </si>
  <si>
    <t>BOAMP:20-70268</t>
  </si>
  <si>
    <t>BOAMP:16-45436</t>
  </si>
  <si>
    <t>BOAMP:18-55179</t>
  </si>
  <si>
    <t>BOAMP:17-102187</t>
  </si>
  <si>
    <t>BOAMP:19-190328</t>
  </si>
  <si>
    <t>BOAMP:21-39936</t>
  </si>
  <si>
    <t>BOAMP:22-122102</t>
  </si>
  <si>
    <t>BOAMP:19-3707</t>
  </si>
  <si>
    <t>BOAMP:19-8820</t>
  </si>
  <si>
    <t>BOAMP:17-8714</t>
  </si>
  <si>
    <t>BOAMP:20-150503</t>
  </si>
  <si>
    <t>BOAMP:15-124226</t>
  </si>
  <si>
    <t>BOAMP:19-71679</t>
  </si>
  <si>
    <t>BOAMP:20-9474</t>
  </si>
  <si>
    <t>BOAMP:22-15926</t>
  </si>
  <si>
    <t>Key</t>
  </si>
  <si>
    <t>Description</t>
  </si>
  <si>
    <t>Workbook</t>
  </si>
  <si>
    <t>BOAMP Proxy Event Manual Validation</t>
  </si>
  <si>
    <t>Purpose</t>
  </si>
  <si>
    <t>150-row stratified audit sample for manual review of the renewal proxy event.</t>
  </si>
  <si>
    <t>event=1</t>
  </si>
  <si>
    <t>Algorithm found an identifiable BOAMP successor notice (proxy renewal event).</t>
  </si>
  <si>
    <t>event=0</t>
  </si>
  <si>
    <t>No identifiable BOAMP successor was found (censored or true non-renewal).</t>
  </si>
  <si>
    <t>Manual_Audit_Sample</t>
  </si>
  <si>
    <t>150-row audit table. Fill manual_decision and manual_error_type columns only.</t>
  </si>
  <si>
    <t>Validation_Metrics</t>
  </si>
  <si>
    <t>Population-level statistics for the full survival dataset (all 1100 rows).</t>
  </si>
  <si>
    <t>Threshold_Sensitivity</t>
  </si>
  <si>
    <t>Event=1 retention and implied event rate at different composite_score thresholds.</t>
  </si>
  <si>
    <t>Event_Bias_Check</t>
  </si>
  <si>
    <t>Event rate and composite score by calendar year — checks for temporal bias.</t>
  </si>
  <si>
    <t>Category_Event_Rates</t>
  </si>
  <si>
    <t>Event rate by technology category — checks for category-level bias.</t>
  </si>
  <si>
    <t>manual_decision allowed values</t>
  </si>
  <si>
    <t>credible_renewal | doubtful_but_possible | not_credible_false_positive | plausible_censored | missed_renewal_false_negative | impossible_to_judge</t>
  </si>
  <si>
    <t>manual_error_type allowed values</t>
  </si>
  <si>
    <t>true_positive | false_positive | true_negative_or_plausible_censored | false_negative | not_applicable</t>
  </si>
  <si>
    <t>Random seed</t>
  </si>
  <si>
    <t>42</t>
  </si>
  <si>
    <t>Generated by</t>
  </si>
  <si>
    <t>event_validation/scripts/build_validation_sample.py</t>
  </si>
  <si>
    <t>metric</t>
  </si>
  <si>
    <t>value</t>
  </si>
  <si>
    <t>total_contracts</t>
  </si>
  <si>
    <t>event_1_count</t>
  </si>
  <si>
    <t>event_0_count</t>
  </si>
  <si>
    <t>event_rate</t>
  </si>
  <si>
    <t>high_confidence_strict_count</t>
  </si>
  <si>
    <t>high_confidence_strict_pct</t>
  </si>
  <si>
    <t>median_composite_score_event1</t>
  </si>
  <si>
    <t>median_score_margin_event1</t>
  </si>
  <si>
    <t>single_candidate_count</t>
  </si>
  <si>
    <t>single_candidate_pct</t>
  </si>
  <si>
    <t>composite_score_p25_event1</t>
  </si>
  <si>
    <t>composite_score_p75_event1</t>
  </si>
  <si>
    <t>threshold</t>
  </si>
  <si>
    <t>event1_retained</t>
  </si>
  <si>
    <t>pct_of_all_event1_retained</t>
  </si>
  <si>
    <t>effective_event_rate_full_dataset</t>
  </si>
  <si>
    <t>start_year</t>
  </si>
  <si>
    <t>total</t>
  </si>
  <si>
    <t>event1_count</t>
  </si>
  <si>
    <t>mean_composite_score</t>
  </si>
  <si>
    <t>category_label</t>
  </si>
  <si>
    <t>idweb</t>
  </si>
  <si>
    <t>role</t>
  </si>
  <si>
    <t>dateparution</t>
  </si>
  <si>
    <t>nomacheteur</t>
  </si>
  <si>
    <t>buyer_siret</t>
  </si>
  <si>
    <t>objet</t>
  </si>
  <si>
    <t>cpv_principal</t>
  </si>
  <si>
    <t>cpv_all</t>
  </si>
  <si>
    <t>type_avis</t>
  </si>
  <si>
    <t>type_procedure</t>
  </si>
  <si>
    <t>type_marche</t>
  </si>
  <si>
    <t>amount_eur</t>
  </si>
  <si>
    <t>duration_months</t>
  </si>
  <si>
    <t>url_avis</t>
  </si>
  <si>
    <t>donnees_format</t>
  </si>
  <si>
    <t>source</t>
  </si>
  <si>
    <t>None</t>
  </si>
  <si>
    <t>None|32412110</t>
  </si>
  <si>
    <t>5|1|</t>
  </si>
  <si>
    <t>OUVERT</t>
  </si>
  <si>
    <t>SERVICES</t>
  </si>
  <si>
    <t>https://www.boamp.fr/pages/avis/?q=idweb:15-87511</t>
  </si>
  <si>
    <t>legacy</t>
  </si>
  <si>
    <t>72224000</t>
  </si>
  <si>
    <t>PROCEDURE_ADAPTE</t>
  </si>
  <si>
    <t>https://www.boamp.fr/pages/avis/?q=idweb:15-96106</t>
  </si>
  <si>
    <t>72267000</t>
  </si>
  <si>
    <t>https://www.boamp.fr/pages/avis/?q=idweb:15-96786</t>
  </si>
  <si>
    <t>48000000</t>
  </si>
  <si>
    <t>https://www.boamp.fr/pages/avis/?q=idweb:15-98976</t>
  </si>
  <si>
    <t>48450000</t>
  </si>
  <si>
    <t>https://www.boamp.fr/pages/avis/?q=idweb:15-111481</t>
  </si>
  <si>
    <t>64200000</t>
  </si>
  <si>
    <t>64200000|72400000</t>
  </si>
  <si>
    <t>https://www.boamp.fr/pages/avis/?q=idweb:15-124226</t>
  </si>
  <si>
    <t>None|35811100|35113460|35113440|35113400|18930000|18110000|37412242|37412260|35113410</t>
  </si>
  <si>
    <t>https://www.boamp.fr/pages/avis/?q=idweb:15-136371</t>
  </si>
  <si>
    <t>2015-09-10</t>
  </si>
  <si>
    <t>35111100</t>
  </si>
  <si>
    <t>https://www.boamp.fr/pages/avis/?q=idweb:15-139094</t>
  </si>
  <si>
    <t>72250000</t>
  </si>
  <si>
    <t>https://www.boamp.fr/pages/avis/?q=idweb:15-178791</t>
  </si>
  <si>
    <t>39294100</t>
  </si>
  <si>
    <t>39294100|18230000|22459100|35821000</t>
  </si>
  <si>
    <t>https://www.boamp.fr/pages/avis/?q=idweb:15-44999</t>
  </si>
  <si>
    <t>32412100</t>
  </si>
  <si>
    <t>https://www.boamp.fr/pages/avis/?q=idweb:15-47591</t>
  </si>
  <si>
    <t>48180000</t>
  </si>
  <si>
    <t>https://www.boamp.fr/pages/avis/?q=idweb:15-51571</t>
  </si>
  <si>
    <t>72500000</t>
  </si>
  <si>
    <t>https://www.boamp.fr/pages/avis/?q=idweb:15-52664</t>
  </si>
  <si>
    <t>45421000</t>
  </si>
  <si>
    <t>45421000|None|45430000|44810000|79811000|79822500|48520000|34999400</t>
  </si>
  <si>
    <t>https://www.boamp.fr/pages/avis/?q=idweb:15-63153</t>
  </si>
  <si>
    <t>https://www.boamp.fr/pages/avis/?q=idweb:15-78916</t>
  </si>
  <si>
    <t>72261000</t>
  </si>
  <si>
    <t>https://www.boamp.fr/pages/avis/?q=idweb:15-83632</t>
  </si>
  <si>
    <t>72212311</t>
  </si>
  <si>
    <t>72212311|30133000</t>
  </si>
  <si>
    <t>FOURNITURES</t>
  </si>
  <si>
    <t>https://www.boamp.fr/pages/avis/?q=idweb:16-56502</t>
  </si>
  <si>
    <t>2016-05-02</t>
  </si>
  <si>
    <t>https://www.boamp.fr/pages/avis/?q=idweb:16-62960</t>
  </si>
  <si>
    <t>2016-05-07</t>
  </si>
  <si>
    <t>45316210</t>
  </si>
  <si>
    <t>45316210|None|32323500</t>
  </si>
  <si>
    <t>https://www.boamp.fr/pages/avis/?q=idweb:16-63342</t>
  </si>
  <si>
    <t>2016-05-24</t>
  </si>
  <si>
    <t>72700000</t>
  </si>
  <si>
    <t>https://www.boamp.fr/pages/avis/?q=idweb:16-73319</t>
  </si>
  <si>
    <t>72600000</t>
  </si>
  <si>
    <t>72600000|None</t>
  </si>
  <si>
    <t>DIALOGUE_COMPETITIF</t>
  </si>
  <si>
    <t>https://www.boamp.fr/pages/avis/?q=idweb:16-78018</t>
  </si>
  <si>
    <t>48612000</t>
  </si>
  <si>
    <t>https://www.boamp.fr/pages/avis/?q=idweb:16-81005</t>
  </si>
  <si>
    <t>50324100</t>
  </si>
  <si>
    <t>50324100|64210000|72267000</t>
  </si>
  <si>
    <t>https://www.boamp.fr/pages/avis/?q=idweb:16-79797</t>
  </si>
  <si>
    <t>2016-06-13</t>
  </si>
  <si>
    <t>72320000</t>
  </si>
  <si>
    <t>https://www.boamp.fr/pages/avis/?q=idweb:16-85662</t>
  </si>
  <si>
    <t>2016-07-04</t>
  </si>
  <si>
    <t>32522000</t>
  </si>
  <si>
    <t>32522000|None</t>
  </si>
  <si>
    <t>https://www.boamp.fr/pages/avis/?q=idweb:16-97484</t>
  </si>
  <si>
    <t>72000000</t>
  </si>
  <si>
    <t>https://www.boamp.fr/pages/avis/?q=idweb:16-98835</t>
  </si>
  <si>
    <t>None|45111291|32400000|45112710</t>
  </si>
  <si>
    <t>https://www.boamp.fr/pages/avis/?q=idweb:16-104455</t>
  </si>
  <si>
    <t>32523000</t>
  </si>
  <si>
    <t>32523000|None</t>
  </si>
  <si>
    <t>https://www.boamp.fr/pages/avis/?q=idweb:16-105530</t>
  </si>
  <si>
    <t>72210000</t>
  </si>
  <si>
    <t>72210000|None</t>
  </si>
  <si>
    <t>https://www.boamp.fr/pages/avis/?q=idweb:16-111867</t>
  </si>
  <si>
    <t>2016-10-18</t>
  </si>
  <si>
    <t>https://www.boamp.fr/pages/avis/?q=idweb:16-151887</t>
  </si>
  <si>
    <t>35111200</t>
  </si>
  <si>
    <t>https://www.boamp.fr/pages/avis/?q=idweb:16-153566</t>
  </si>
  <si>
    <t>https://www.boamp.fr/pages/avis/?q=idweb:16-172095</t>
  </si>
  <si>
    <t>72212214</t>
  </si>
  <si>
    <t>https://www.boamp.fr/pages/avis/?q=idweb:16-16627</t>
  </si>
  <si>
    <t>48782000</t>
  </si>
  <si>
    <t>https://www.boamp.fr/pages/avis/?q=idweb:16-27767</t>
  </si>
  <si>
    <t>72268000</t>
  </si>
  <si>
    <t>https://www.boamp.fr/pages/avis/?q=idweb:16-30715</t>
  </si>
  <si>
    <t>2016-03-24</t>
  </si>
  <si>
    <t>48443000</t>
  </si>
  <si>
    <t>https://www.boamp.fr/pages/avis/?q=idweb:16-42170</t>
  </si>
  <si>
    <t>2016-03-30</t>
  </si>
  <si>
    <t>45000000</t>
  </si>
  <si>
    <t>45000000|45112000|77310000|45262311|45261420|45261100|45321000|45421130|45421150|45421141|45421146|45432111|45431000|45442100|45313100|45331000|45330000|33000000|45310000|45343100|32000000</t>
  </si>
  <si>
    <t>https://www.boamp.fr/pages/avis/?q=idweb:16-45436</t>
  </si>
  <si>
    <t>72314000</t>
  </si>
  <si>
    <t>RESTREINT</t>
  </si>
  <si>
    <t>https://www.boamp.fr/pages/avis/?q=idweb:16-48232</t>
  </si>
  <si>
    <t>https://www.boamp.fr/pages/avis/?q=idweb:16-55493</t>
  </si>
  <si>
    <t>None|64200000|72400000</t>
  </si>
  <si>
    <t>https://www.boamp.fr/pages/avis/?q=idweb:17-57345</t>
  </si>
  <si>
    <t>32424000</t>
  </si>
  <si>
    <t>https://www.boamp.fr/pages/avis/?q=idweb:17-88463</t>
  </si>
  <si>
    <t>72611000</t>
  </si>
  <si>
    <t>72611000|None</t>
  </si>
  <si>
    <t>NEGOCIE</t>
  </si>
  <si>
    <t>https://www.boamp.fr/pages/avis/?q=idweb:17-58113</t>
  </si>
  <si>
    <t>32321300</t>
  </si>
  <si>
    <t>https://www.boamp.fr/pages/avis/?q=idweb:17-79002</t>
  </si>
  <si>
    <t>2017-05-24</t>
  </si>
  <si>
    <t>72212900</t>
  </si>
  <si>
    <t>https://www.boamp.fr/pages/avis/?q=idweb:17-71849</t>
  </si>
  <si>
    <t>https://www.boamp.fr/pages/avis/?q=idweb:17-93952</t>
  </si>
  <si>
    <t>32330000</t>
  </si>
  <si>
    <t>https://www.boamp.fr/pages/avis/?q=idweb:17-102187</t>
  </si>
  <si>
    <t>48900000</t>
  </si>
  <si>
    <t>https://www.boamp.fr/pages/avis/?q=idweb:17-102708</t>
  </si>
  <si>
    <t>https://www.boamp.fr/pages/avis/?q=idweb:17-8714</t>
  </si>
  <si>
    <t>2017-11-25</t>
  </si>
  <si>
    <t>48000000|None</t>
  </si>
  <si>
    <t>https://www.boamp.fr/pages/avis/?q=idweb:17-165815</t>
  </si>
  <si>
    <t>2017-10-15</t>
  </si>
  <si>
    <t>https://www.boamp.fr/pages/avis/?q=idweb:17-143241</t>
  </si>
  <si>
    <t>45111290</t>
  </si>
  <si>
    <t>45111290|45112500|45232410|45231112|32400000</t>
  </si>
  <si>
    <t>https://www.boamp.fr/pages/avis/?q=idweb:17-147216</t>
  </si>
  <si>
    <t>2017-07-23</t>
  </si>
  <si>
    <t>39100000</t>
  </si>
  <si>
    <t>39100000|34928300|35821000</t>
  </si>
  <si>
    <t>https://www.boamp.fr/pages/avis/?q=idweb:17-104307</t>
  </si>
  <si>
    <t>https://www.boamp.fr/pages/avis/?q=idweb:17-119142</t>
  </si>
  <si>
    <t>2017-09-07</t>
  </si>
  <si>
    <t>https://www.boamp.fr/pages/avis/?q=idweb:17-124586</t>
  </si>
  <si>
    <t>https://www.boamp.fr/pages/avis/?q=idweb:17-128615</t>
  </si>
  <si>
    <t>2017-10-14</t>
  </si>
  <si>
    <t>35113200</t>
  </si>
  <si>
    <t>https://www.boamp.fr/pages/avis/?q=idweb:17-144102</t>
  </si>
  <si>
    <t>2017-12-07</t>
  </si>
  <si>
    <t>https://www.boamp.fr/pages/avis/?q=idweb:17-171316</t>
  </si>
  <si>
    <t>https://www.boamp.fr/pages/avis/?q=idweb:17-168569</t>
  </si>
  <si>
    <t>https://www.boamp.fr/pages/avis/?q=idweb:17-173975</t>
  </si>
  <si>
    <t>2017-11-12</t>
  </si>
  <si>
    <t>https://www.boamp.fr/pages/avis/?q=idweb:17-159373</t>
  </si>
  <si>
    <t>48952000</t>
  </si>
  <si>
    <t>https://www.boamp.fr/pages/avis/?q=idweb:17-25253</t>
  </si>
  <si>
    <t>2017-02-16</t>
  </si>
  <si>
    <t>35120000</t>
  </si>
  <si>
    <t>35120000|None</t>
  </si>
  <si>
    <t>https://www.boamp.fr/pages/avis/?q=idweb:17-22230</t>
  </si>
  <si>
    <t>https://www.boamp.fr/pages/avis/?q=idweb:17-179112</t>
  </si>
  <si>
    <t>35111200|None</t>
  </si>
  <si>
    <t>https://www.boamp.fr/pages/avis/?q=idweb:17-176560</t>
  </si>
  <si>
    <t>https://www.boamp.fr/pages/avis/?q=idweb:19-174098</t>
  </si>
  <si>
    <t>https://www.boamp.fr/pages/avis/?q=idweb:19-12872</t>
  </si>
  <si>
    <t>2019-01-23</t>
  </si>
  <si>
    <t>35261000</t>
  </si>
  <si>
    <t>35261000|None</t>
  </si>
  <si>
    <t>https://www.boamp.fr/pages/avis/?q=idweb:19-10428</t>
  </si>
  <si>
    <t>candidate|source</t>
  </si>
  <si>
    <t>None|30231310|32223000</t>
  </si>
  <si>
    <t>https://www.boamp.fr/pages/avis/?q=idweb:19-126819</t>
  </si>
  <si>
    <t>72611000|72220000</t>
  </si>
  <si>
    <t>https://www.boamp.fr/pages/avis/?q=idweb:17-29415</t>
  </si>
  <si>
    <t>https://www.boamp.fr/pages/avis/?q=idweb:17-39457</t>
  </si>
  <si>
    <t>32000000</t>
  </si>
  <si>
    <t>https://www.boamp.fr/pages/avis/?q=idweb:18-55179</t>
  </si>
  <si>
    <t>https://www.boamp.fr/pages/avis/?q=idweb:18-56546</t>
  </si>
  <si>
    <t>72610000</t>
  </si>
  <si>
    <t>https://www.boamp.fr/pages/avis/?q=idweb:18-73364</t>
  </si>
  <si>
    <t>https://www.boamp.fr/pages/avis/?q=idweb:18-87219</t>
  </si>
  <si>
    <t>30200000</t>
  </si>
  <si>
    <t>30200000|30000000|72500000</t>
  </si>
  <si>
    <t>https://www.boamp.fr/pages/avis/?q=idweb:18-58840</t>
  </si>
  <si>
    <t>https://www.boamp.fr/pages/avis/?q=idweb:18-67939</t>
  </si>
  <si>
    <t>https://www.boamp.fr/pages/avis/?q=idweb:18-89409</t>
  </si>
  <si>
    <t>48461000</t>
  </si>
  <si>
    <t>https://www.boamp.fr/pages/avis/?q=idweb:18-101437</t>
  </si>
  <si>
    <t>45214800</t>
  </si>
  <si>
    <t>45214800|45110000|45112710|45262210|45223220|45261000|45262650|45261420|45261213|45421000|44316500|44112000|45421146|44112310|32321200|None|45432111|45442100|35261000|42416100|09310000</t>
  </si>
  <si>
    <t>TRAVAUX</t>
  </si>
  <si>
    <t>https://www.boamp.fr/pages/avis/?q=idweb:18-93359</t>
  </si>
  <si>
    <t>2018-07-01</t>
  </si>
  <si>
    <t>https://www.boamp.fr/pages/avis/?q=idweb:18-88858</t>
  </si>
  <si>
    <t>48461000|45214630</t>
  </si>
  <si>
    <t>https://www.boamp.fr/pages/avis/?q=idweb:18-149889</t>
  </si>
  <si>
    <t>2018-09-26</t>
  </si>
  <si>
    <t>72267100</t>
  </si>
  <si>
    <t>72267100|None</t>
  </si>
  <si>
    <t>https://www.boamp.fr/pages/avis/?q=idweb:18-133090</t>
  </si>
  <si>
    <t>2018-09-30</t>
  </si>
  <si>
    <t>45454000</t>
  </si>
  <si>
    <t>45454000|45112500|None|45443000|45421000|45311200|35120000|42416100|45232330</t>
  </si>
  <si>
    <t>https://www.boamp.fr/pages/avis/?q=idweb:18-135728</t>
  </si>
  <si>
    <t>https://www.boamp.fr/pages/avis/?q=idweb:18-6884</t>
  </si>
  <si>
    <t>https://www.boamp.fr/pages/avis/?q=idweb:18-103319</t>
  </si>
  <si>
    <t>2018-01-17</t>
  </si>
  <si>
    <t>44212320</t>
  </si>
  <si>
    <t>44212320|37482000|32342410</t>
  </si>
  <si>
    <t>https://www.boamp.fr/pages/avis/?q=idweb:18-3854</t>
  </si>
  <si>
    <t>35113440</t>
  </si>
  <si>
    <t>35113440|48000000</t>
  </si>
  <si>
    <t>https://www.boamp.fr/pages/avis/?q=idweb:18-105237</t>
  </si>
  <si>
    <t>https://www.boamp.fr/pages/avis/?q=idweb:18-121819</t>
  </si>
  <si>
    <t>44115000</t>
  </si>
  <si>
    <t>44115000|45112500|45112710|45223220|45421140|09300000|44111400|32323500</t>
  </si>
  <si>
    <t>https://www.boamp.fr/pages/avis/?q=idweb:18-163164</t>
  </si>
  <si>
    <t>https://www.boamp.fr/pages/avis/?q=idweb:18-149893</t>
  </si>
  <si>
    <t>2018-10-20</t>
  </si>
  <si>
    <t>39300000</t>
  </si>
  <si>
    <t>39300000|43800000|45259000|42512500|34322100|31600000|32236000|30200000|42961100</t>
  </si>
  <si>
    <t>https://www.boamp.fr/pages/avis/?q=idweb:18-146639</t>
  </si>
  <si>
    <t>2018-02-25</t>
  </si>
  <si>
    <t>72212200</t>
  </si>
  <si>
    <t>https://www.boamp.fr/pages/avis/?q=idweb:18-26824</t>
  </si>
  <si>
    <t>https://www.boamp.fr/pages/avis/?q=idweb:18-15680</t>
  </si>
  <si>
    <t>72810000</t>
  </si>
  <si>
    <t>https://www.boamp.fr/pages/avis/?q=idweb:18-174875</t>
  </si>
  <si>
    <t>32400000</t>
  </si>
  <si>
    <t>https://www.boamp.fr/pages/avis/?q=idweb:18-171623</t>
  </si>
  <si>
    <t>2018-12-01</t>
  </si>
  <si>
    <t>https://www.boamp.fr/pages/avis/?q=idweb:18-166821</t>
  </si>
  <si>
    <t>32323500</t>
  </si>
  <si>
    <t>https://www.boamp.fr/pages/avis/?q=idweb:19-81470</t>
  </si>
  <si>
    <t>nearest_later|source</t>
  </si>
  <si>
    <t>50312310</t>
  </si>
  <si>
    <t>50312310|72315100</t>
  </si>
  <si>
    <t>https://www.boamp.fr/pages/avis/?q=idweb:19-62635</t>
  </si>
  <si>
    <t>2019-04-04</t>
  </si>
  <si>
    <t>https://www.boamp.fr/pages/avis/?q=idweb:19-48030</t>
  </si>
  <si>
    <t>https://www.boamp.fr/pages/avis/?q=idweb:19-103125</t>
  </si>
  <si>
    <t>https://www.boamp.fr/pages/avis/?q=idweb:19-125270</t>
  </si>
  <si>
    <t>48170000</t>
  </si>
  <si>
    <t>https://www.boamp.fr/pages/avis/?q=idweb:19-3707</t>
  </si>
  <si>
    <t>https://www.boamp.fr/pages/avis/?q=idweb:19-51855</t>
  </si>
  <si>
    <t>2019-03-29</t>
  </si>
  <si>
    <t>32500000</t>
  </si>
  <si>
    <t>32500000|64215000</t>
  </si>
  <si>
    <t>https://www.boamp.fr/pages/avis/?q=idweb:19-48376</t>
  </si>
  <si>
    <t>2019-06-30</t>
  </si>
  <si>
    <t>72700000|None</t>
  </si>
  <si>
    <t>https://www.boamp.fr/pages/avis/?q=idweb:19-99589</t>
  </si>
  <si>
    <t>2019-01-19</t>
  </si>
  <si>
    <t>72220000</t>
  </si>
  <si>
    <t>https://www.boamp.fr/pages/avis/?q=idweb:19-8820</t>
  </si>
  <si>
    <t>https://www.boamp.fr/pages/avis/?q=idweb:19-8916</t>
  </si>
  <si>
    <t>32584000</t>
  </si>
  <si>
    <t>32584000|None</t>
  </si>
  <si>
    <t>https://www.boamp.fr/pages/avis/?q=idweb:19-80203</t>
  </si>
  <si>
    <t>32400000|None</t>
  </si>
  <si>
    <t>https://www.boamp.fr/pages/avis/?q=idweb:20-27109</t>
  </si>
  <si>
    <t>34996300</t>
  </si>
  <si>
    <t>34996300|45111291|32323500</t>
  </si>
  <si>
    <t>https://www.boamp.fr/pages/avis/?q=idweb:20-154115</t>
  </si>
  <si>
    <t>https://www.boamp.fr/pages/avis/?q=idweb:20-23104</t>
  </si>
  <si>
    <t>72514300</t>
  </si>
  <si>
    <t>72514300|50312310</t>
  </si>
  <si>
    <t>https://www.boamp.fr/pages/avis/?q=idweb:20-85580</t>
  </si>
  <si>
    <t>2020-04-08</t>
  </si>
  <si>
    <t>79822500</t>
  </si>
  <si>
    <t>79822500|72413000</t>
  </si>
  <si>
    <t>https://www.boamp.fr/pages/avis/?q=idweb:20-49128</t>
  </si>
  <si>
    <t>32344000</t>
  </si>
  <si>
    <t>https://www.boamp.fr/pages/avis/?q=idweb:20-54010</t>
  </si>
  <si>
    <t>2020-05-07</t>
  </si>
  <si>
    <t>https://www.boamp.fr/pages/avis/?q=idweb:20-57925</t>
  </si>
  <si>
    <t>2020-05-31</t>
  </si>
  <si>
    <t>https://www.boamp.fr/pages/avis/?q=idweb:20-70265</t>
  </si>
  <si>
    <t>2020-06-07</t>
  </si>
  <si>
    <t>72224000|None</t>
  </si>
  <si>
    <t>https://www.boamp.fr/pages/avis/?q=idweb:20-72791</t>
  </si>
  <si>
    <t>2020-06-14</t>
  </si>
  <si>
    <t>72150000</t>
  </si>
  <si>
    <t>https://www.boamp.fr/pages/avis/?q=idweb:20-75569</t>
  </si>
  <si>
    <t>2019-03-02</t>
  </si>
  <si>
    <t>35113430</t>
  </si>
  <si>
    <t>https://www.boamp.fr/pages/avis/?q=idweb:19-32405</t>
  </si>
  <si>
    <t>2019-03-17</t>
  </si>
  <si>
    <t>31625100</t>
  </si>
  <si>
    <t>31625100|None|35110000</t>
  </si>
  <si>
    <t>https://www.boamp.fr/pages/avis/?q=idweb:19-41115</t>
  </si>
  <si>
    <t>2019-02-10</t>
  </si>
  <si>
    <t>32412000</t>
  </si>
  <si>
    <t>https://www.boamp.fr/pages/avis/?q=idweb:19-21081</t>
  </si>
  <si>
    <t>https://www.boamp.fr/pages/avis/?q=idweb:19-27651</t>
  </si>
  <si>
    <t>72413000</t>
  </si>
  <si>
    <t>https://www.boamp.fr/pages/avis/?q=idweb:19-33752</t>
  </si>
  <si>
    <t>https://www.boamp.fr/pages/avis/?q=idweb:19-190109</t>
  </si>
  <si>
    <t>None|32354500|32353000</t>
  </si>
  <si>
    <t>https://www.boamp.fr/pages/avis/?q=idweb:19-185581</t>
  </si>
  <si>
    <t>2019-12-04</t>
  </si>
  <si>
    <t>https://www.boamp.fr/pages/avis/?q=idweb:19-180395</t>
  </si>
  <si>
    <t>45000000|45262522|45261100|45261210|45261410|45421000|45330000|09310000|45410000|45442100|44112200|44316500|45313100|39515000|32321300|38653400|39113100</t>
  </si>
  <si>
    <t>https://www.boamp.fr/pages/avis/?q=idweb:19-177220</t>
  </si>
  <si>
    <t>2019-11-22</t>
  </si>
  <si>
    <t>https://www.boamp.fr/pages/avis/?q=idweb:19-174412</t>
  </si>
  <si>
    <t>2022-05-22</t>
  </si>
  <si>
    <t>35811200</t>
  </si>
  <si>
    <t>35811200|None</t>
  </si>
  <si>
    <t>https://www.boamp.fr/pages/avis/?q=idweb:22-72719</t>
  </si>
  <si>
    <t>32322000</t>
  </si>
  <si>
    <t>https://www.boamp.fr/pages/avis/?q=idweb:22-95015</t>
  </si>
  <si>
    <t>72500000|JA03|72315200|48822000|30200000</t>
  </si>
  <si>
    <t>https://www.boamp.fr/pages/avis/?q=idweb:22-102718</t>
  </si>
  <si>
    <t>https://www.boamp.fr/pages/avis/?q=idweb:22-15926</t>
  </si>
  <si>
    <t>2021-02-28</t>
  </si>
  <si>
    <t>https://www.boamp.fr/pages/avis/?q=idweb:21-26779</t>
  </si>
  <si>
    <t>32323300</t>
  </si>
  <si>
    <t>32323300|32342410</t>
  </si>
  <si>
    <t>https://www.boamp.fr/pages/avis/?q=idweb:23-31948</t>
  </si>
  <si>
    <t>48813200</t>
  </si>
  <si>
    <t>https://www.boamp.fr/pages/avis/?q=idweb:22-162609</t>
  </si>
  <si>
    <t>72268000|72267100</t>
  </si>
  <si>
    <t>https://www.boamp.fr/pages/avis/?q=idweb:22-162095</t>
  </si>
  <si>
    <t>2021-10-02</t>
  </si>
  <si>
    <t>79800000</t>
  </si>
  <si>
    <t>79800000|30120000|48970000</t>
  </si>
  <si>
    <t>https://www.boamp.fr/pages/avis/?q=idweb:21-130956</t>
  </si>
  <si>
    <t>45200000</t>
  </si>
  <si>
    <t>45200000|32323500</t>
  </si>
  <si>
    <t>https://www.boamp.fr/pages/avis/?q=idweb:21-137461</t>
  </si>
  <si>
    <t>2021-03-27</t>
  </si>
  <si>
    <t>32323500|35120000</t>
  </si>
  <si>
    <t>https://www.boamp.fr/pages/avis/?q=idweb:21-39936</t>
  </si>
  <si>
    <t>None|39141000|39100000|39130000|48952000|39221110</t>
  </si>
  <si>
    <t>https://www.boamp.fr/pages/avis/?q=idweb:20-137453</t>
  </si>
  <si>
    <t>2020-10-15</t>
  </si>
  <si>
    <t>48800000</t>
  </si>
  <si>
    <t>https://www.boamp.fr/pages/avis/?q=idweb:20-125567</t>
  </si>
  <si>
    <t>2020-09-01</t>
  </si>
  <si>
    <t>https://www.boamp.fr/pages/avis/?q=idweb:20-107792</t>
  </si>
  <si>
    <t>https://www.boamp.fr/pages/avis/?q=idweb:20-9474</t>
  </si>
  <si>
    <t>2021-09-23</t>
  </si>
  <si>
    <t>https://www.boamp.fr/pages/avis/?q=idweb:21-126360</t>
  </si>
  <si>
    <t>https://www.boamp.fr/pages/avis/?q=idweb:21-102565</t>
  </si>
  <si>
    <t>2020-09-23</t>
  </si>
  <si>
    <t>48611000</t>
  </si>
  <si>
    <t>48611000|50324100</t>
  </si>
  <si>
    <t>https://www.boamp.fr/pages/avis/?q=idweb:20-115241</t>
  </si>
  <si>
    <t>2021-05-09</t>
  </si>
  <si>
    <t>18143000</t>
  </si>
  <si>
    <t>18143000|18141000|18810000|18830000|18100000|18412000|18130000|35810000|None|33140000</t>
  </si>
  <si>
    <t>https://www.boamp.fr/pages/avis/?q=idweb:21-50135</t>
  </si>
  <si>
    <t>https://www.boamp.fr/pages/avis/?q=idweb:21-53955</t>
  </si>
  <si>
    <t>https://www.boamp.fr/pages/avis/?q=idweb:21-77546</t>
  </si>
  <si>
    <t>https://www.boamp.fr/pages/avis/?q=idweb:21-86124</t>
  </si>
  <si>
    <t>candidate</t>
  </si>
  <si>
    <t>50700000</t>
  </si>
  <si>
    <t>50700000|45111100|45262100|None|45261000|44316500|45421000|45421152|45421146|45421151|45313000|31640000|32400000|39113100|45112700</t>
  </si>
  <si>
    <t>https://www.boamp.fr/pages/avis/?q=idweb:17-55172</t>
  </si>
  <si>
    <t>2017-09-17</t>
  </si>
  <si>
    <t>44470000</t>
  </si>
  <si>
    <t>44470000|41110000|35111000</t>
  </si>
  <si>
    <t>https://www.boamp.fr/pages/avis/?q=idweb:17-127198</t>
  </si>
  <si>
    <t>https://www.boamp.fr/pages/avis/?q=idweb:17-68186</t>
  </si>
  <si>
    <t>https://www.boamp.fr/pages/avis/?q=idweb:17-68883</t>
  </si>
  <si>
    <t>2018-03-04</t>
  </si>
  <si>
    <t>72212900|72250000|72514200</t>
  </si>
  <si>
    <t>https://www.boamp.fr/pages/avis/?q=idweb:18-30222</t>
  </si>
  <si>
    <t>2017-03-27</t>
  </si>
  <si>
    <t>48310000</t>
  </si>
  <si>
    <t>https://www.boamp.fr/pages/avis/?q=idweb:17-39998</t>
  </si>
  <si>
    <t>https://www.boamp.fr/pages/avis/?q=idweb:18-76556</t>
  </si>
  <si>
    <t>2017-04-01</t>
  </si>
  <si>
    <t>72500000|None</t>
  </si>
  <si>
    <t>https://www.boamp.fr/pages/avis/?q=idweb:17-44758</t>
  </si>
  <si>
    <t>https://www.boamp.fr/pages/avis/?q=idweb:18-93488</t>
  </si>
  <si>
    <t>48613000</t>
  </si>
  <si>
    <t>48613000|None</t>
  </si>
  <si>
    <t>https://www.boamp.fr/pages/avis/?q=idweb:18-154990</t>
  </si>
  <si>
    <t>https://www.boamp.fr/pages/avis/?q=idweb:23-104062</t>
  </si>
  <si>
    <t>2023-03-08</t>
  </si>
  <si>
    <t>72200000</t>
  </si>
  <si>
    <t>https://www.boamp.fr/pages/avis/?q=idweb:23-23753</t>
  </si>
  <si>
    <t>https://www.boamp.fr/pages/avis/?q=idweb:19-137030</t>
  </si>
  <si>
    <t>https://www.boamp.fr/pages/avis/?q=idweb:19-169855</t>
  </si>
  <si>
    <t>39300000|42995100|42924740|42410000|31630000|42512000|50222000|42512500|32323000|32236000|30230000|48900000|50113200</t>
  </si>
  <si>
    <t>https://www.boamp.fr/pages/avis/?q=idweb:19-119207</t>
  </si>
  <si>
    <t>2019-10-22</t>
  </si>
  <si>
    <t>72322000</t>
  </si>
  <si>
    <t>https://www.boamp.fr/pages/avis/?q=idweb:19-160471</t>
  </si>
  <si>
    <t>2019-05-08</t>
  </si>
  <si>
    <t>64200000|64210000|64212000|72400000</t>
  </si>
  <si>
    <t>https://www.boamp.fr/pages/avis/?q=idweb:19-71679</t>
  </si>
  <si>
    <t>72315000</t>
  </si>
  <si>
    <t>https://www.boamp.fr/pages/avis/?q=idweb:19-75795</t>
  </si>
  <si>
    <t>72212300</t>
  </si>
  <si>
    <t>https://www.boamp.fr/pages/avis/?q=idweb:19-1779</t>
  </si>
  <si>
    <t>https://www.boamp.fr/pages/avis/?q=idweb:19-59985</t>
  </si>
  <si>
    <t>2020-01-19</t>
  </si>
  <si>
    <t>https://www.boamp.fr/pages/avis/?q=idweb:20-6485</t>
  </si>
  <si>
    <t>https://www.boamp.fr/pages/avis/?q=idweb:20-70268</t>
  </si>
  <si>
    <t>2020-05-20</t>
  </si>
  <si>
    <t>48810000</t>
  </si>
  <si>
    <t>https://www.boamp.fr/pages/avis/?q=idweb:20-65753</t>
  </si>
  <si>
    <t>2020-12-11</t>
  </si>
  <si>
    <t>50312310|72315100|32500000</t>
  </si>
  <si>
    <t>https://www.boamp.fr/pages/avis/?q=idweb:20-150503</t>
  </si>
  <si>
    <t>45000000|45421000|45442100|32321300|38653400</t>
  </si>
  <si>
    <t>https://www.boamp.fr/pages/avis/?q=idweb:20-71239</t>
  </si>
  <si>
    <t>2020-09-06</t>
  </si>
  <si>
    <t>30230000</t>
  </si>
  <si>
    <t>30230000|32420000|48800000</t>
  </si>
  <si>
    <t>https://www.boamp.fr/pages/avis/?q=idweb:20-109382</t>
  </si>
  <si>
    <t>2021-05-22</t>
  </si>
  <si>
    <t>72200000|48219300</t>
  </si>
  <si>
    <t>https://www.boamp.fr/pages/avis/?q=idweb:21-67958</t>
  </si>
  <si>
    <t>https://www.boamp.fr/pages/avis/?q=idweb:20-38676</t>
  </si>
  <si>
    <t>https://www.boamp.fr/pages/avis/?q=idweb:20-12202</t>
  </si>
  <si>
    <t>https://www.boamp.fr/pages/avis/?q=idweb:20-12070</t>
  </si>
  <si>
    <t>https://www.boamp.fr/pages/avis/?q=idweb:20-132336</t>
  </si>
  <si>
    <t>2020-05-08</t>
  </si>
  <si>
    <t>https://www.boamp.fr/pages/avis/?q=idweb:20-61130</t>
  </si>
  <si>
    <t>https://www.boamp.fr/pages/avis/?q=idweb:20-68352</t>
  </si>
  <si>
    <t>2020-06-06</t>
  </si>
  <si>
    <t>https://www.boamp.fr/pages/avis/?q=idweb:20-70680</t>
  </si>
  <si>
    <t>2020-04-17</t>
  </si>
  <si>
    <t>35110000</t>
  </si>
  <si>
    <t>35110000|35311400|None|31121000|44423200|43830000|42122110|34928471</t>
  </si>
  <si>
    <t>https://www.boamp.fr/pages/avis/?q=idweb:20-52846</t>
  </si>
  <si>
    <t>https://www.boamp.fr/pages/avis/?q=idweb:19-34512</t>
  </si>
  <si>
    <t>32412100|None</t>
  </si>
  <si>
    <t>https://www.boamp.fr/pages/avis/?q=idweb:19-177026</t>
  </si>
  <si>
    <t>2019-12-06</t>
  </si>
  <si>
    <t>72400000</t>
  </si>
  <si>
    <t>72400000|72720000</t>
  </si>
  <si>
    <t>https://www.boamp.fr/pages/avis/?q=idweb:19-181393</t>
  </si>
  <si>
    <t>https://www.boamp.fr/pages/avis/?q=idweb:19-190328</t>
  </si>
  <si>
    <t>72212224</t>
  </si>
  <si>
    <t>https://www.boamp.fr/pages/avis/?q=idweb:19-176963</t>
  </si>
  <si>
    <t>2020-01-12</t>
  </si>
  <si>
    <t>https://www.boamp.fr/pages/avis/?q=idweb:20-4011</t>
  </si>
  <si>
    <t>2019-03-16</t>
  </si>
  <si>
    <t>32352200</t>
  </si>
  <si>
    <t>https://www.boamp.fr/pages/avis/?q=idweb:19-39750</t>
  </si>
  <si>
    <t>https://www.boamp.fr/pages/avis/?q=idweb:23-34854</t>
  </si>
  <si>
    <t>72260000</t>
  </si>
  <si>
    <t>https://www.boamp.fr/pages/avis/?q=idweb:23-174149</t>
  </si>
  <si>
    <t>https://www.boamp.fr/pages/avis/?q=idweb:22-44037</t>
  </si>
  <si>
    <t>72316000</t>
  </si>
  <si>
    <t>https://www.boamp.fr/pages/avis/?q=idweb:22-39891</t>
  </si>
  <si>
    <t>https://www.boamp.fr/pages/avis/?q=idweb:20-27358</t>
  </si>
  <si>
    <t>2020-12-20</t>
  </si>
  <si>
    <t>72267000|48211000</t>
  </si>
  <si>
    <t>https://www.boamp.fr/pages/avis/?q=idweb:20-155309</t>
  </si>
  <si>
    <t>37320000</t>
  </si>
  <si>
    <t>37320000|32342410|34990000|32321300|92214000|48952000|42410000</t>
  </si>
  <si>
    <t>https://www.boamp.fr/pages/avis/?q=idweb:21-63730</t>
  </si>
  <si>
    <t>https://www.boamp.fr/pages/avis/?q=idweb:21-67771</t>
  </si>
  <si>
    <t>https://www.boamp.fr/pages/avis/?q=idweb:20-140005</t>
  </si>
  <si>
    <t>https://www.boamp.fr/pages/avis/?q=idweb:20-114106</t>
  </si>
  <si>
    <t>48481000</t>
  </si>
  <si>
    <t>https://www.boamp.fr/pages/avis/?q=idweb:20-122198</t>
  </si>
  <si>
    <t>https://www.boamp.fr/pages/avis/?q=idweb:21-11209</t>
  </si>
  <si>
    <t>https://www.boamp.fr/pages/avis/?q=idweb:21-125536</t>
  </si>
  <si>
    <t>None|51511300|16700000|43312100|34140000|34115000|35124000|39522530</t>
  </si>
  <si>
    <t>https://www.boamp.fr/pages/avis/?q=idweb:21-123669</t>
  </si>
  <si>
    <t>2021-09-24</t>
  </si>
  <si>
    <t>https://www.boamp.fr/pages/avis/?q=idweb:21-126684</t>
  </si>
  <si>
    <t>2021-10-20</t>
  </si>
  <si>
    <t>https://www.boamp.fr/pages/avis/?q=idweb:21-139293</t>
  </si>
  <si>
    <t>2022-05-18</t>
  </si>
  <si>
    <t>https://www.boamp.fr/pages/avis/?q=idweb:22-69458</t>
  </si>
  <si>
    <t>https://www.boamp.fr/pages/avis/?q=idweb:22-69242</t>
  </si>
  <si>
    <t>72413000|48200000|72415000</t>
  </si>
  <si>
    <t>https://www.boamp.fr/pages/avis/?q=idweb:22-51860</t>
  </si>
  <si>
    <t>2021-12-25</t>
  </si>
  <si>
    <t>39150000</t>
  </si>
  <si>
    <t>39150000|39151000|39100000|34928300|35821000</t>
  </si>
  <si>
    <t>https://www.boamp.fr/pages/avis/?q=idweb:21-169350</t>
  </si>
  <si>
    <t>2021-10-24</t>
  </si>
  <si>
    <t>79995100</t>
  </si>
  <si>
    <t>79995100|72252000</t>
  </si>
  <si>
    <t>https://www.boamp.fr/pages/avis/?q=idweb:21-142218</t>
  </si>
  <si>
    <t>32320000</t>
  </si>
  <si>
    <t>https://www.boamp.fr/pages/avis/?q=idweb:21-152470</t>
  </si>
  <si>
    <t>48730000</t>
  </si>
  <si>
    <t>48730000|48000000</t>
  </si>
  <si>
    <t>https://www.boamp.fr/pages/avis/?q=idweb:22-103042</t>
  </si>
  <si>
    <t>https://www.boamp.fr/pages/avis/?q=idweb:22-87982</t>
  </si>
  <si>
    <t>2022-10-22</t>
  </si>
  <si>
    <t>https://www.boamp.fr/pages/avis/?q=idweb:22-141031</t>
  </si>
  <si>
    <t>https://www.boamp.fr/pages/avis/?q=idweb:22-127882</t>
  </si>
  <si>
    <t>72510000</t>
  </si>
  <si>
    <t>https://www.boamp.fr/pages/avis/?q=idweb:22-94408</t>
  </si>
  <si>
    <t>32420000</t>
  </si>
  <si>
    <t>https://www.boamp.fr/pages/avis/?q=idweb:22-122102</t>
  </si>
  <si>
    <t>2022-02-09</t>
  </si>
  <si>
    <t>48800000|None</t>
  </si>
  <si>
    <t>https://www.boamp.fr/pages/avis/?q=idweb:22-19299</t>
  </si>
  <si>
    <t>https://www.boamp.fr/pages/avis/?q=idweb:22-21573</t>
  </si>
  <si>
    <t>2022-03-17</t>
  </si>
  <si>
    <t>72500000|30233000</t>
  </si>
  <si>
    <t>https://www.boamp.fr/pages/avis/?q=idweb:22-38732</t>
  </si>
  <si>
    <t>2021-09-01</t>
  </si>
  <si>
    <t>https://www.boamp.fr/pages/avis/?q=idweb:21-116891</t>
  </si>
  <si>
    <t>2023-05-17</t>
  </si>
  <si>
    <t>https://www.boamp.fr/pages/avis/?q=idweb:23-66104</t>
  </si>
  <si>
    <t>72221000</t>
  </si>
  <si>
    <t>https://www.boamp.fr/pages/avis/?q=idweb:23-73693</t>
  </si>
  <si>
    <t>https://www.boamp.fr/pages/avis/?q=idweb:23-32316</t>
  </si>
  <si>
    <t>32230000</t>
  </si>
  <si>
    <t>https://www.boamp.fr/pages/avis/?q=idweb:23-6460</t>
  </si>
  <si>
    <t>2023-04-09</t>
  </si>
  <si>
    <t>35321100</t>
  </si>
  <si>
    <t>https://www.boamp.fr/pages/avis/?q=idweb:23-47137</t>
  </si>
  <si>
    <t>https://www.boamp.fr/pages/avis/?q=idweb:23-48831</t>
  </si>
  <si>
    <t>https://www.boamp.fr/pages/avis/?q=idweb:23-60788</t>
  </si>
  <si>
    <t>2023-04-07</t>
  </si>
  <si>
    <t>https://www.boamp.fr/pages/avis/?q=idweb:23-43054</t>
  </si>
  <si>
    <t>https://www.boamp.fr/pages/avis/?q=idweb:23-6087</t>
  </si>
  <si>
    <t>45212350</t>
  </si>
  <si>
    <t>45212350|45262512|45261100|45421000|39100000|44316500|98394000|45410000|None|45323000|09310000|32322000|42122420</t>
  </si>
  <si>
    <t>https://www.boamp.fr/pages/avis/?q=idweb:23-97071</t>
  </si>
  <si>
    <t>32420000|None</t>
  </si>
  <si>
    <t>https://www.boamp.fr/pages/avis/?q=idweb:23-87983</t>
  </si>
  <si>
    <t>https://www.boamp.fr/pages/avis/?q=idweb:23-61217</t>
  </si>
  <si>
    <t>72212000</t>
  </si>
  <si>
    <t>https://www.boamp.fr/pages/avis/?q=idweb:23-101767</t>
  </si>
  <si>
    <t>nearest_later</t>
  </si>
  <si>
    <t>Fourniture d'un service de Wifi Libre, pérenne ou ponctuel, (fourniture des équipements, installation et mise en service, exploitation et maintenance) pour la commune de Saint-Herblain.</t>
  </si>
  <si>
    <t>https://www.boamp.fr/pages/avis/?q=idweb:19-104228</t>
  </si>
  <si>
    <t>Acquisition d'un simulateur de feux réels avec traitement des fumées destiné à la formation des sapeurs-pompiers du SDIS de la Vendée</t>
  </si>
  <si>
    <t>35110000|None</t>
  </si>
  <si>
    <t>https://www.boamp.fr/pages/avis/?q=idweb:19-141668</t>
  </si>
  <si>
    <t>Fourniture en temps réel en temps différé de données vitesse issues de la localisation GNSS des véhicules circulant sur le réseau routier de la DIR-OUEST et des partenaires</t>
  </si>
  <si>
    <t>48610000</t>
  </si>
  <si>
    <t>48610000|72319000</t>
  </si>
  <si>
    <t>|10|6</t>
  </si>
  <si>
    <t>https://www.boamp.fr/pages/avis/?q=idweb:20-76296</t>
  </si>
  <si>
    <t>https://www.boamp.fr/pages/avis/?q=idweb:20-150745</t>
  </si>
  <si>
    <t>Acquisition d'équipements de sécurité (chaussures, vêtements, EPI)</t>
  </si>
  <si>
    <t>35113400</t>
  </si>
  <si>
    <t>35113400|18143000|18830000</t>
  </si>
  <si>
    <t>https://www.boamp.fr/pages/avis/?q=idweb:20-114032</t>
  </si>
  <si>
    <t>Prolongation du délai de remise des offres. La date de remise des offres est reportée au 04/05/2020 à 16 h (au lieu du 07/04/2020 à 16h).</t>
  </si>
  <si>
    <t>https://www.boamp.fr/pages/avis/?q=idweb:20-48669</t>
  </si>
  <si>
    <t>Accord-cadre relatif à l'évolution et la maintenance des infrastructures IT et à la mise en oeuvre d'une infrastructure d'Intercom pour la Cité des Congrès de Nantes</t>
  </si>
  <si>
    <t>32424000|None</t>
  </si>
  <si>
    <t>https://www.boamp.fr/pages/avis/?q=idweb:22-7823</t>
  </si>
  <si>
    <t>MISSION D'AMO TECHNIQUE ET JURIDIQUE POUR LE PILOTAGE ET LE SUIVI DES OPERATIONS ENERGIESPRONG PAYS DE LA LOIRE</t>
  </si>
  <si>
    <t>https://www.boamp.fr/pages/avis/?q=idweb:22-32272</t>
  </si>
  <si>
    <t>missions programmation - economie et environnement salle de convivialité - reze</t>
  </si>
  <si>
    <t>72243000</t>
  </si>
  <si>
    <t>https://www.boamp.fr/pages/avis/?q=idweb:23-174001</t>
  </si>
  <si>
    <t>rénovation énergétique lourde de la salle de l'eperon (salle de sports et théâtre)</t>
  </si>
  <si>
    <t>45110000</t>
  </si>
  <si>
    <t>45110000|45000000|45223220|45261100|45443000|45261213|45261211|44316500|45421150|44112300|45432111|44810000|45313100|09310000|35330000</t>
  </si>
  <si>
    <t>https://www.boamp.fr/pages/avis/?q=idweb:23-152074</t>
  </si>
  <si>
    <t>Conseil départemental Loire Atlantique</t>
  </si>
  <si>
    <t>443928874</t>
  </si>
  <si>
    <t>Assistance numérique pour les collèges publics de Loire-Atlantique</t>
  </si>
  <si>
    <t>https://www.boamp.fr/pages/avis/?q=idweb:24-13163</t>
  </si>
  <si>
    <t>eforms</t>
  </si>
  <si>
    <t>credible_renewal</t>
  </si>
  <si>
    <t>not_credible_false_positive</t>
  </si>
  <si>
    <t>doubtful_but_possible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</si>
</sst>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u/>
      <sz val="9"/>
      <color rgb="FF1155CC"/>
      <name val="Calibri"/>
    </font>
    <font>
      <i/>
      <sz val="9"/>
      <color rgb="FF555555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DDEEFF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4" fillId="0" borderId="0" xfId="0" applyFont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/>
    <xf numFmtId="0" fontId="2" fillId="4" borderId="1" xfId="0" applyFont="1" applyFill="1" applyBorder="1" applyAlignment="1">
      <alignment vertical="top"/>
    </xf>
    <xf numFmtId="0" fontId="5" fillId="6" borderId="2" xfId="0" applyFont="1" applyFill="1" applyBorder="1" applyAlignment="1">
      <alignment horizontal="center" wrapText="1"/>
    </xf>
    <xf numFmtId="0" fontId="5" fillId="6" borderId="0" xfId="0" applyFont="1" applyFill="1" applyAlignment="1">
      <alignment horizontal="center" wrapText="1"/>
    </xf>
  </cellXfs>
  <cellStyles count="1">
    <cellStyle name="Normal" xfId="0" builtinId="0"/>
  </cellStyles>
  <dxfs count="3">
    <dxf>
      <font>
        <sz val="9"/>
        <color rgb="FF5D4037"/>
      </font>
      <fill>
        <patternFill patternType="solid">
          <fgColor rgb="FFFFF9C4"/>
        </patternFill>
      </fill>
    </dxf>
    <dxf>
      <font>
        <b/>
        <sz val="9"/>
        <color rgb="FFB71C1C"/>
      </font>
      <fill>
        <patternFill patternType="solid">
          <fgColor rgb="FFFFCDD2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amp.fr/pages/avis/?q=idweb:19-177026" TargetMode="External"/><Relationship Id="rId21" Type="http://schemas.openxmlformats.org/officeDocument/2006/relationships/hyperlink" Target="https://www.boamp.fr/pages/avis/?q=idweb:17-168569" TargetMode="External"/><Relationship Id="rId42" Type="http://schemas.openxmlformats.org/officeDocument/2006/relationships/hyperlink" Target="https://www.boamp.fr/pages/avis/?q=idweb:18-30222" TargetMode="External"/><Relationship Id="rId63" Type="http://schemas.openxmlformats.org/officeDocument/2006/relationships/hyperlink" Target="https://www.boamp.fr/pages/avis/?q=idweb:22-19299" TargetMode="External"/><Relationship Id="rId84" Type="http://schemas.openxmlformats.org/officeDocument/2006/relationships/hyperlink" Target="https://www.boamp.fr/pages/avis/?q=idweb:19-174098" TargetMode="External"/><Relationship Id="rId138" Type="http://schemas.openxmlformats.org/officeDocument/2006/relationships/hyperlink" Target="https://www.boamp.fr/pages/avis/?q=idweb:21-142218" TargetMode="External"/><Relationship Id="rId159" Type="http://schemas.openxmlformats.org/officeDocument/2006/relationships/hyperlink" Target="https://www.boamp.fr/pages/avis/?q=idweb:18-93488" TargetMode="External"/><Relationship Id="rId170" Type="http://schemas.openxmlformats.org/officeDocument/2006/relationships/hyperlink" Target="https://www.boamp.fr/pages/avis/?q=idweb:21-67771" TargetMode="External"/><Relationship Id="rId191" Type="http://schemas.openxmlformats.org/officeDocument/2006/relationships/hyperlink" Target="https://www.boamp.fr/pages/avis/?q=idweb:23-97071" TargetMode="External"/><Relationship Id="rId205" Type="http://schemas.openxmlformats.org/officeDocument/2006/relationships/hyperlink" Target="https://www.boamp.fr/pages/avis/?q=idweb:20-71239" TargetMode="External"/><Relationship Id="rId226" Type="http://schemas.openxmlformats.org/officeDocument/2006/relationships/hyperlink" Target="https://www.boamp.fr/pages/avis/?q=idweb:18-133090" TargetMode="External"/><Relationship Id="rId247" Type="http://schemas.openxmlformats.org/officeDocument/2006/relationships/hyperlink" Target="https://www.boamp.fr/pages/avis/?q=idweb:15-124226" TargetMode="External"/><Relationship Id="rId107" Type="http://schemas.openxmlformats.org/officeDocument/2006/relationships/hyperlink" Target="https://www.boamp.fr/pages/avis/?q=idweb:20-6485" TargetMode="External"/><Relationship Id="rId11" Type="http://schemas.openxmlformats.org/officeDocument/2006/relationships/hyperlink" Target="https://www.boamp.fr/pages/avis/?q=idweb:16-16627" TargetMode="External"/><Relationship Id="rId32" Type="http://schemas.openxmlformats.org/officeDocument/2006/relationships/hyperlink" Target="https://www.boamp.fr/pages/avis/?q=idweb:17-68186" TargetMode="External"/><Relationship Id="rId53" Type="http://schemas.openxmlformats.org/officeDocument/2006/relationships/hyperlink" Target="https://www.boamp.fr/pages/avis/?q=idweb:18-146639" TargetMode="External"/><Relationship Id="rId74" Type="http://schemas.openxmlformats.org/officeDocument/2006/relationships/hyperlink" Target="https://www.boamp.fr/pages/avis/?q=idweb:19-48030" TargetMode="External"/><Relationship Id="rId128" Type="http://schemas.openxmlformats.org/officeDocument/2006/relationships/hyperlink" Target="https://www.boamp.fr/pages/avis/?q=idweb:18-166821" TargetMode="External"/><Relationship Id="rId149" Type="http://schemas.openxmlformats.org/officeDocument/2006/relationships/hyperlink" Target="https://www.boamp.fr/pages/avis/?q=idweb:20-75569" TargetMode="External"/><Relationship Id="rId5" Type="http://schemas.openxmlformats.org/officeDocument/2006/relationships/hyperlink" Target="https://www.boamp.fr/pages/avis/?q=idweb:18-76556" TargetMode="External"/><Relationship Id="rId95" Type="http://schemas.openxmlformats.org/officeDocument/2006/relationships/hyperlink" Target="https://www.boamp.fr/pages/avis/?q=idweb:17-143241" TargetMode="External"/><Relationship Id="rId160" Type="http://schemas.openxmlformats.org/officeDocument/2006/relationships/hyperlink" Target="https://www.boamp.fr/pages/avis/?q=idweb:20-54010" TargetMode="External"/><Relationship Id="rId181" Type="http://schemas.openxmlformats.org/officeDocument/2006/relationships/hyperlink" Target="https://www.boamp.fr/pages/avis/?q=idweb:22-44037" TargetMode="External"/><Relationship Id="rId216" Type="http://schemas.openxmlformats.org/officeDocument/2006/relationships/hyperlink" Target="https://www.boamp.fr/pages/avis/?q=idweb:19-181393" TargetMode="External"/><Relationship Id="rId237" Type="http://schemas.openxmlformats.org/officeDocument/2006/relationships/hyperlink" Target="https://www.boamp.fr/pages/avis/?q=idweb:18-55179" TargetMode="External"/><Relationship Id="rId22" Type="http://schemas.openxmlformats.org/officeDocument/2006/relationships/hyperlink" Target="https://www.boamp.fr/pages/avis/?q=idweb:22-21573" TargetMode="External"/><Relationship Id="rId43" Type="http://schemas.openxmlformats.org/officeDocument/2006/relationships/hyperlink" Target="https://www.boamp.fr/pages/avis/?q=idweb:18-174875" TargetMode="External"/><Relationship Id="rId64" Type="http://schemas.openxmlformats.org/officeDocument/2006/relationships/hyperlink" Target="https://www.boamp.fr/pages/avis/?q=idweb:16-63342" TargetMode="External"/><Relationship Id="rId118" Type="http://schemas.openxmlformats.org/officeDocument/2006/relationships/hyperlink" Target="https://www.boamp.fr/pages/avis/?q=idweb:15-139094" TargetMode="External"/><Relationship Id="rId139" Type="http://schemas.openxmlformats.org/officeDocument/2006/relationships/hyperlink" Target="https://www.boamp.fr/pages/avis/?q=idweb:18-15680" TargetMode="External"/><Relationship Id="rId85" Type="http://schemas.openxmlformats.org/officeDocument/2006/relationships/hyperlink" Target="https://www.boamp.fr/pages/avis/?q=idweb:21-116891" TargetMode="External"/><Relationship Id="rId150" Type="http://schemas.openxmlformats.org/officeDocument/2006/relationships/hyperlink" Target="https://www.boamp.fr/pages/avis/?q=idweb:22-38732" TargetMode="External"/><Relationship Id="rId171" Type="http://schemas.openxmlformats.org/officeDocument/2006/relationships/hyperlink" Target="https://www.boamp.fr/pages/avis/?q=idweb:17-29415" TargetMode="External"/><Relationship Id="rId192" Type="http://schemas.openxmlformats.org/officeDocument/2006/relationships/hyperlink" Target="https://www.boamp.fr/pages/avis/?q=idweb:16-111867" TargetMode="External"/><Relationship Id="rId206" Type="http://schemas.openxmlformats.org/officeDocument/2006/relationships/hyperlink" Target="https://www.boamp.fr/pages/avis/?q=idweb:18-87219" TargetMode="External"/><Relationship Id="rId227" Type="http://schemas.openxmlformats.org/officeDocument/2006/relationships/hyperlink" Target="https://www.boamp.fr/pages/avis/?q=idweb:20-155309" TargetMode="External"/><Relationship Id="rId248" Type="http://schemas.openxmlformats.org/officeDocument/2006/relationships/hyperlink" Target="https://www.boamp.fr/pages/avis/?q=idweb:19-71679" TargetMode="External"/><Relationship Id="rId12" Type="http://schemas.openxmlformats.org/officeDocument/2006/relationships/hyperlink" Target="https://www.boamp.fr/pages/avis/?q=idweb:19-160471" TargetMode="External"/><Relationship Id="rId33" Type="http://schemas.openxmlformats.org/officeDocument/2006/relationships/hyperlink" Target="https://www.boamp.fr/pages/avis/?q=idweb:19-32405" TargetMode="External"/><Relationship Id="rId108" Type="http://schemas.openxmlformats.org/officeDocument/2006/relationships/hyperlink" Target="https://www.boamp.fr/pages/avis/?q=idweb:20-72791" TargetMode="External"/><Relationship Id="rId129" Type="http://schemas.openxmlformats.org/officeDocument/2006/relationships/hyperlink" Target="https://www.boamp.fr/pages/avis/?q=idweb:20-4011" TargetMode="External"/><Relationship Id="rId54" Type="http://schemas.openxmlformats.org/officeDocument/2006/relationships/hyperlink" Target="https://www.boamp.fr/pages/avis/?q=idweb:19-119207" TargetMode="External"/><Relationship Id="rId75" Type="http://schemas.openxmlformats.org/officeDocument/2006/relationships/hyperlink" Target="https://www.boamp.fr/pages/avis/?q=idweb:23-43054" TargetMode="External"/><Relationship Id="rId96" Type="http://schemas.openxmlformats.org/officeDocument/2006/relationships/hyperlink" Target="https://www.boamp.fr/pages/avis/?q=idweb:23-60788" TargetMode="External"/><Relationship Id="rId140" Type="http://schemas.openxmlformats.org/officeDocument/2006/relationships/hyperlink" Target="https://www.boamp.fr/pages/avis/?q=idweb:22-94408" TargetMode="External"/><Relationship Id="rId161" Type="http://schemas.openxmlformats.org/officeDocument/2006/relationships/hyperlink" Target="https://www.boamp.fr/pages/avis/?q=idweb:18-26824" TargetMode="External"/><Relationship Id="rId182" Type="http://schemas.openxmlformats.org/officeDocument/2006/relationships/hyperlink" Target="https://www.boamp.fr/pages/avis/?q=idweb:16-104455" TargetMode="External"/><Relationship Id="rId217" Type="http://schemas.openxmlformats.org/officeDocument/2006/relationships/hyperlink" Target="https://www.boamp.fr/pages/avis/?q=idweb:16-78018" TargetMode="External"/><Relationship Id="rId6" Type="http://schemas.openxmlformats.org/officeDocument/2006/relationships/hyperlink" Target="https://www.boamp.fr/pages/avis/?q=idweb:19-190109" TargetMode="External"/><Relationship Id="rId238" Type="http://schemas.openxmlformats.org/officeDocument/2006/relationships/hyperlink" Target="https://www.boamp.fr/pages/avis/?q=idweb:17-102187" TargetMode="External"/><Relationship Id="rId23" Type="http://schemas.openxmlformats.org/officeDocument/2006/relationships/hyperlink" Target="https://www.boamp.fr/pages/avis/?q=idweb:17-159373" TargetMode="External"/><Relationship Id="rId119" Type="http://schemas.openxmlformats.org/officeDocument/2006/relationships/hyperlink" Target="https://www.boamp.fr/pages/avis/?q=idweb:17-173975" TargetMode="External"/><Relationship Id="rId44" Type="http://schemas.openxmlformats.org/officeDocument/2006/relationships/hyperlink" Target="https://www.boamp.fr/pages/avis/?q=idweb:23-34854" TargetMode="External"/><Relationship Id="rId65" Type="http://schemas.openxmlformats.org/officeDocument/2006/relationships/hyperlink" Target="https://www.boamp.fr/pages/avis/?q=idweb:20-132336" TargetMode="External"/><Relationship Id="rId86" Type="http://schemas.openxmlformats.org/officeDocument/2006/relationships/hyperlink" Target="https://www.boamp.fr/pages/avis/?q=idweb:16-56502" TargetMode="External"/><Relationship Id="rId130" Type="http://schemas.openxmlformats.org/officeDocument/2006/relationships/hyperlink" Target="https://www.boamp.fr/pages/avis/?q=idweb:17-176560" TargetMode="External"/><Relationship Id="rId151" Type="http://schemas.openxmlformats.org/officeDocument/2006/relationships/hyperlink" Target="https://www.boamp.fr/pages/avis/?q=idweb:19-33752" TargetMode="External"/><Relationship Id="rId172" Type="http://schemas.openxmlformats.org/officeDocument/2006/relationships/hyperlink" Target="https://www.boamp.fr/pages/avis/?q=idweb:21-77546" TargetMode="External"/><Relationship Id="rId193" Type="http://schemas.openxmlformats.org/officeDocument/2006/relationships/hyperlink" Target="https://www.boamp.fr/pages/avis/?q=idweb:22-127882" TargetMode="External"/><Relationship Id="rId207" Type="http://schemas.openxmlformats.org/officeDocument/2006/relationships/hyperlink" Target="https://www.boamp.fr/pages/avis/?q=idweb:16-153566" TargetMode="External"/><Relationship Id="rId228" Type="http://schemas.openxmlformats.org/officeDocument/2006/relationships/hyperlink" Target="https://www.boamp.fr/pages/avis/?q=idweb:17-144102" TargetMode="External"/><Relationship Id="rId249" Type="http://schemas.openxmlformats.org/officeDocument/2006/relationships/hyperlink" Target="https://www.boamp.fr/pages/avis/?q=idweb:20-9474" TargetMode="External"/><Relationship Id="rId13" Type="http://schemas.openxmlformats.org/officeDocument/2006/relationships/hyperlink" Target="https://www.boamp.fr/pages/avis/?q=idweb:17-128615" TargetMode="External"/><Relationship Id="rId109" Type="http://schemas.openxmlformats.org/officeDocument/2006/relationships/hyperlink" Target="https://www.boamp.fr/pages/avis/?q=idweb:21-126360" TargetMode="External"/><Relationship Id="rId34" Type="http://schemas.openxmlformats.org/officeDocument/2006/relationships/hyperlink" Target="https://www.boamp.fr/pages/avis/?q=idweb:20-12202" TargetMode="External"/><Relationship Id="rId55" Type="http://schemas.openxmlformats.org/officeDocument/2006/relationships/hyperlink" Target="https://www.boamp.fr/pages/avis/?q=idweb:16-97484" TargetMode="External"/><Relationship Id="rId76" Type="http://schemas.openxmlformats.org/officeDocument/2006/relationships/hyperlink" Target="https://www.boamp.fr/pages/avis/?q=idweb:19-174412" TargetMode="External"/><Relationship Id="rId97" Type="http://schemas.openxmlformats.org/officeDocument/2006/relationships/hyperlink" Target="https://www.boamp.fr/pages/avis/?q=idweb:21-50135" TargetMode="External"/><Relationship Id="rId120" Type="http://schemas.openxmlformats.org/officeDocument/2006/relationships/hyperlink" Target="https://www.boamp.fr/pages/avis/?q=idweb:19-137030" TargetMode="External"/><Relationship Id="rId141" Type="http://schemas.openxmlformats.org/officeDocument/2006/relationships/hyperlink" Target="https://www.boamp.fr/pages/avis/?q=idweb:19-21081" TargetMode="External"/><Relationship Id="rId7" Type="http://schemas.openxmlformats.org/officeDocument/2006/relationships/hyperlink" Target="https://www.boamp.fr/pages/avis/?q=idweb:17-25253" TargetMode="External"/><Relationship Id="rId162" Type="http://schemas.openxmlformats.org/officeDocument/2006/relationships/hyperlink" Target="https://www.boamp.fr/pages/avis/?q=idweb:19-1779" TargetMode="External"/><Relationship Id="rId183" Type="http://schemas.openxmlformats.org/officeDocument/2006/relationships/hyperlink" Target="https://www.boamp.fr/pages/avis/?q=idweb:16-48232" TargetMode="External"/><Relationship Id="rId218" Type="http://schemas.openxmlformats.org/officeDocument/2006/relationships/hyperlink" Target="https://www.boamp.fr/pages/avis/?q=idweb:21-26779" TargetMode="External"/><Relationship Id="rId239" Type="http://schemas.openxmlformats.org/officeDocument/2006/relationships/hyperlink" Target="https://www.boamp.fr/pages/avis/?q=idweb:19-190328" TargetMode="External"/><Relationship Id="rId250" Type="http://schemas.openxmlformats.org/officeDocument/2006/relationships/hyperlink" Target="https://www.boamp.fr/pages/avis/?q=idweb:22-15926" TargetMode="External"/><Relationship Id="rId24" Type="http://schemas.openxmlformats.org/officeDocument/2006/relationships/hyperlink" Target="https://www.boamp.fr/pages/avis/?q=idweb:22-87982" TargetMode="External"/><Relationship Id="rId45" Type="http://schemas.openxmlformats.org/officeDocument/2006/relationships/hyperlink" Target="https://www.boamp.fr/pages/avis/?q=idweb:15-63153" TargetMode="External"/><Relationship Id="rId66" Type="http://schemas.openxmlformats.org/officeDocument/2006/relationships/hyperlink" Target="https://www.boamp.fr/pages/avis/?q=idweb:22-72719" TargetMode="External"/><Relationship Id="rId87" Type="http://schemas.openxmlformats.org/officeDocument/2006/relationships/hyperlink" Target="https://www.boamp.fr/pages/avis/?q=idweb:17-39457" TargetMode="External"/><Relationship Id="rId110" Type="http://schemas.openxmlformats.org/officeDocument/2006/relationships/hyperlink" Target="https://www.boamp.fr/pages/avis/?q=idweb:17-22230" TargetMode="External"/><Relationship Id="rId131" Type="http://schemas.openxmlformats.org/officeDocument/2006/relationships/hyperlink" Target="https://www.boamp.fr/pages/avis/?q=idweb:20-52846" TargetMode="External"/><Relationship Id="rId152" Type="http://schemas.openxmlformats.org/officeDocument/2006/relationships/hyperlink" Target="https://www.boamp.fr/pages/avis/?q=idweb:21-137461" TargetMode="External"/><Relationship Id="rId173" Type="http://schemas.openxmlformats.org/officeDocument/2006/relationships/hyperlink" Target="https://www.boamp.fr/pages/avis/?q=idweb:18-56546" TargetMode="External"/><Relationship Id="rId194" Type="http://schemas.openxmlformats.org/officeDocument/2006/relationships/hyperlink" Target="https://www.boamp.fr/pages/avis/?q=idweb:15-136371" TargetMode="External"/><Relationship Id="rId208" Type="http://schemas.openxmlformats.org/officeDocument/2006/relationships/hyperlink" Target="https://www.boamp.fr/pages/avis/?q=idweb:19-62635" TargetMode="External"/><Relationship Id="rId229" Type="http://schemas.openxmlformats.org/officeDocument/2006/relationships/hyperlink" Target="https://www.boamp.fr/pages/avis/?q=idweb:21-152470" TargetMode="External"/><Relationship Id="rId240" Type="http://schemas.openxmlformats.org/officeDocument/2006/relationships/hyperlink" Target="https://www.boamp.fr/pages/avis/?q=idweb:21-39936" TargetMode="External"/><Relationship Id="rId14" Type="http://schemas.openxmlformats.org/officeDocument/2006/relationships/hyperlink" Target="https://www.boamp.fr/pages/avis/?q=idweb:17-147216" TargetMode="External"/><Relationship Id="rId35" Type="http://schemas.openxmlformats.org/officeDocument/2006/relationships/hyperlink" Target="https://www.boamp.fr/pages/avis/?q=idweb:19-8916" TargetMode="External"/><Relationship Id="rId56" Type="http://schemas.openxmlformats.org/officeDocument/2006/relationships/hyperlink" Target="https://www.boamp.fr/pages/avis/?q=idweb:20-27109" TargetMode="External"/><Relationship Id="rId77" Type="http://schemas.openxmlformats.org/officeDocument/2006/relationships/hyperlink" Target="https://www.boamp.fr/pages/avis/?q=idweb:22-141031" TargetMode="External"/><Relationship Id="rId100" Type="http://schemas.openxmlformats.org/officeDocument/2006/relationships/hyperlink" Target="https://www.boamp.fr/pages/avis/?q=idweb:19-41115" TargetMode="External"/><Relationship Id="rId8" Type="http://schemas.openxmlformats.org/officeDocument/2006/relationships/hyperlink" Target="https://www.boamp.fr/pages/avis/?q=idweb:16-62960" TargetMode="External"/><Relationship Id="rId98" Type="http://schemas.openxmlformats.org/officeDocument/2006/relationships/hyperlink" Target="https://www.boamp.fr/pages/avis/?q=idweb:23-101767" TargetMode="External"/><Relationship Id="rId121" Type="http://schemas.openxmlformats.org/officeDocument/2006/relationships/hyperlink" Target="https://www.boamp.fr/pages/avis/?q=idweb:17-79002" TargetMode="External"/><Relationship Id="rId142" Type="http://schemas.openxmlformats.org/officeDocument/2006/relationships/hyperlink" Target="https://www.boamp.fr/pages/avis/?q=idweb:15-87511" TargetMode="External"/><Relationship Id="rId163" Type="http://schemas.openxmlformats.org/officeDocument/2006/relationships/hyperlink" Target="https://www.boamp.fr/pages/avis/?q=idweb:19-10428" TargetMode="External"/><Relationship Id="rId184" Type="http://schemas.openxmlformats.org/officeDocument/2006/relationships/hyperlink" Target="https://www.boamp.fr/pages/avis/?q=idweb:20-27358" TargetMode="External"/><Relationship Id="rId219" Type="http://schemas.openxmlformats.org/officeDocument/2006/relationships/hyperlink" Target="https://www.boamp.fr/pages/avis/?q=idweb:23-73693" TargetMode="External"/><Relationship Id="rId230" Type="http://schemas.openxmlformats.org/officeDocument/2006/relationships/hyperlink" Target="https://www.boamp.fr/pages/avis/?q=idweb:22-162095" TargetMode="External"/><Relationship Id="rId25" Type="http://schemas.openxmlformats.org/officeDocument/2006/relationships/hyperlink" Target="https://www.boamp.fr/pages/avis/?q=idweb:16-30715" TargetMode="External"/><Relationship Id="rId46" Type="http://schemas.openxmlformats.org/officeDocument/2006/relationships/hyperlink" Target="https://www.boamp.fr/pages/avis/?q=idweb:19-75795" TargetMode="External"/><Relationship Id="rId67" Type="http://schemas.openxmlformats.org/officeDocument/2006/relationships/hyperlink" Target="https://www.boamp.fr/pages/avis/?q=idweb:23-47137" TargetMode="External"/><Relationship Id="rId88" Type="http://schemas.openxmlformats.org/officeDocument/2006/relationships/hyperlink" Target="https://www.boamp.fr/pages/avis/?q=idweb:18-87219" TargetMode="External"/><Relationship Id="rId111" Type="http://schemas.openxmlformats.org/officeDocument/2006/relationships/hyperlink" Target="https://www.boamp.fr/pages/avis/?q=idweb:17-93952" TargetMode="External"/><Relationship Id="rId132" Type="http://schemas.openxmlformats.org/officeDocument/2006/relationships/hyperlink" Target="https://www.boamp.fr/pages/avis/?q=idweb:18-149893" TargetMode="External"/><Relationship Id="rId153" Type="http://schemas.openxmlformats.org/officeDocument/2006/relationships/hyperlink" Target="https://www.boamp.fr/pages/avis/?q=idweb:19-12872" TargetMode="External"/><Relationship Id="rId174" Type="http://schemas.openxmlformats.org/officeDocument/2006/relationships/hyperlink" Target="https://www.boamp.fr/pages/avis/?q=idweb:22-69242" TargetMode="External"/><Relationship Id="rId195" Type="http://schemas.openxmlformats.org/officeDocument/2006/relationships/hyperlink" Target="https://www.boamp.fr/pages/avis/?q=idweb:18-154990" TargetMode="External"/><Relationship Id="rId209" Type="http://schemas.openxmlformats.org/officeDocument/2006/relationships/hyperlink" Target="https://www.boamp.fr/pages/avis/?q=idweb:23-6087" TargetMode="External"/><Relationship Id="rId220" Type="http://schemas.openxmlformats.org/officeDocument/2006/relationships/hyperlink" Target="https://www.boamp.fr/pages/avis/?q=idweb:20-23104" TargetMode="External"/><Relationship Id="rId241" Type="http://schemas.openxmlformats.org/officeDocument/2006/relationships/hyperlink" Target="https://www.boamp.fr/pages/avis/?q=idweb:22-122102" TargetMode="External"/><Relationship Id="rId15" Type="http://schemas.openxmlformats.org/officeDocument/2006/relationships/hyperlink" Target="https://www.boamp.fr/pages/avis/?q=idweb:19-125270" TargetMode="External"/><Relationship Id="rId36" Type="http://schemas.openxmlformats.org/officeDocument/2006/relationships/hyperlink" Target="https://www.boamp.fr/pages/avis/?q=idweb:19-176963" TargetMode="External"/><Relationship Id="rId57" Type="http://schemas.openxmlformats.org/officeDocument/2006/relationships/hyperlink" Target="https://www.boamp.fr/pages/avis/?q=idweb:20-61130" TargetMode="External"/><Relationship Id="rId78" Type="http://schemas.openxmlformats.org/officeDocument/2006/relationships/hyperlink" Target="https://www.boamp.fr/pages/avis/?q=idweb:21-86124" TargetMode="External"/><Relationship Id="rId99" Type="http://schemas.openxmlformats.org/officeDocument/2006/relationships/hyperlink" Target="https://www.boamp.fr/pages/avis/?q=idweb:18-103319" TargetMode="External"/><Relationship Id="rId101" Type="http://schemas.openxmlformats.org/officeDocument/2006/relationships/hyperlink" Target="https://www.boamp.fr/pages/avis/?q=idweb:16-151887" TargetMode="External"/><Relationship Id="rId122" Type="http://schemas.openxmlformats.org/officeDocument/2006/relationships/hyperlink" Target="https://www.boamp.fr/pages/avis/?q=idweb:20-140005" TargetMode="External"/><Relationship Id="rId143" Type="http://schemas.openxmlformats.org/officeDocument/2006/relationships/hyperlink" Target="https://www.boamp.fr/pages/avis/?q=idweb:15-78916" TargetMode="External"/><Relationship Id="rId164" Type="http://schemas.openxmlformats.org/officeDocument/2006/relationships/hyperlink" Target="https://www.boamp.fr/pages/avis/?q=idweb:20-70265" TargetMode="External"/><Relationship Id="rId185" Type="http://schemas.openxmlformats.org/officeDocument/2006/relationships/hyperlink" Target="https://www.boamp.fr/pages/avis/?q=idweb:16-55493" TargetMode="External"/><Relationship Id="rId4" Type="http://schemas.openxmlformats.org/officeDocument/2006/relationships/hyperlink" Target="https://www.boamp.fr/pages/avis/?q=idweb:15-83632" TargetMode="External"/><Relationship Id="rId9" Type="http://schemas.openxmlformats.org/officeDocument/2006/relationships/hyperlink" Target="https://www.boamp.fr/pages/avis/?q=idweb:20-38676" TargetMode="External"/><Relationship Id="rId180" Type="http://schemas.openxmlformats.org/officeDocument/2006/relationships/hyperlink" Target="https://www.boamp.fr/pages/avis/?q=idweb:17-165815" TargetMode="External"/><Relationship Id="rId210" Type="http://schemas.openxmlformats.org/officeDocument/2006/relationships/hyperlink" Target="https://www.boamp.fr/pages/avis/?q=idweb:22-102718" TargetMode="External"/><Relationship Id="rId215" Type="http://schemas.openxmlformats.org/officeDocument/2006/relationships/hyperlink" Target="https://www.boamp.fr/pages/avis/?q=idweb:19-51855" TargetMode="External"/><Relationship Id="rId236" Type="http://schemas.openxmlformats.org/officeDocument/2006/relationships/hyperlink" Target="https://www.boamp.fr/pages/avis/?q=idweb:16-45436" TargetMode="External"/><Relationship Id="rId26" Type="http://schemas.openxmlformats.org/officeDocument/2006/relationships/hyperlink" Target="https://www.boamp.fr/pages/avis/?q=idweb:23-31948" TargetMode="External"/><Relationship Id="rId231" Type="http://schemas.openxmlformats.org/officeDocument/2006/relationships/hyperlink" Target="https://www.boamp.fr/pages/avis/?q=idweb:23-66104" TargetMode="External"/><Relationship Id="rId47" Type="http://schemas.openxmlformats.org/officeDocument/2006/relationships/hyperlink" Target="https://www.boamp.fr/pages/avis/?q=idweb:16-42170" TargetMode="External"/><Relationship Id="rId68" Type="http://schemas.openxmlformats.org/officeDocument/2006/relationships/hyperlink" Target="https://www.boamp.fr/pages/avis/?q=idweb:19-81470" TargetMode="External"/><Relationship Id="rId89" Type="http://schemas.openxmlformats.org/officeDocument/2006/relationships/hyperlink" Target="https://www.boamp.fr/pages/avis/?q=idweb:18-101437" TargetMode="External"/><Relationship Id="rId112" Type="http://schemas.openxmlformats.org/officeDocument/2006/relationships/hyperlink" Target="https://www.boamp.fr/pages/avis/?q=idweb:19-169855" TargetMode="External"/><Relationship Id="rId133" Type="http://schemas.openxmlformats.org/officeDocument/2006/relationships/hyperlink" Target="https://www.boamp.fr/pages/avis/?q=idweb:20-68352" TargetMode="External"/><Relationship Id="rId154" Type="http://schemas.openxmlformats.org/officeDocument/2006/relationships/hyperlink" Target="https://www.boamp.fr/pages/avis/?q=idweb:23-32316" TargetMode="External"/><Relationship Id="rId175" Type="http://schemas.openxmlformats.org/officeDocument/2006/relationships/hyperlink" Target="https://www.boamp.fr/pages/avis/?q=idweb:21-126360" TargetMode="External"/><Relationship Id="rId196" Type="http://schemas.openxmlformats.org/officeDocument/2006/relationships/hyperlink" Target="https://www.boamp.fr/pages/avis/?q=idweb:17-171316" TargetMode="External"/><Relationship Id="rId200" Type="http://schemas.openxmlformats.org/officeDocument/2006/relationships/hyperlink" Target="https://www.boamp.fr/pages/avis/?q=idweb:21-139293" TargetMode="External"/><Relationship Id="rId16" Type="http://schemas.openxmlformats.org/officeDocument/2006/relationships/hyperlink" Target="https://www.boamp.fr/pages/avis/?q=idweb:23-61217" TargetMode="External"/><Relationship Id="rId221" Type="http://schemas.openxmlformats.org/officeDocument/2006/relationships/hyperlink" Target="https://www.boamp.fr/pages/avis/?q=idweb:21-11209" TargetMode="External"/><Relationship Id="rId242" Type="http://schemas.openxmlformats.org/officeDocument/2006/relationships/hyperlink" Target="https://www.boamp.fr/pages/avis/?q=idweb:19-3707" TargetMode="External"/><Relationship Id="rId37" Type="http://schemas.openxmlformats.org/officeDocument/2006/relationships/hyperlink" Target="https://www.boamp.fr/pages/avis/?q=idweb:15-47591" TargetMode="External"/><Relationship Id="rId58" Type="http://schemas.openxmlformats.org/officeDocument/2006/relationships/hyperlink" Target="https://www.boamp.fr/pages/avis/?q=idweb:20-137453" TargetMode="External"/><Relationship Id="rId79" Type="http://schemas.openxmlformats.org/officeDocument/2006/relationships/hyperlink" Target="https://www.boamp.fr/pages/avis/?q=idweb:20-57925" TargetMode="External"/><Relationship Id="rId102" Type="http://schemas.openxmlformats.org/officeDocument/2006/relationships/hyperlink" Target="https://www.boamp.fr/pages/avis/?q=idweb:16-81005" TargetMode="External"/><Relationship Id="rId123" Type="http://schemas.openxmlformats.org/officeDocument/2006/relationships/hyperlink" Target="https://www.boamp.fr/pages/avis/?q=idweb:19-126819" TargetMode="External"/><Relationship Id="rId144" Type="http://schemas.openxmlformats.org/officeDocument/2006/relationships/hyperlink" Target="https://www.boamp.fr/pages/avis/?q=idweb:18-121819" TargetMode="External"/><Relationship Id="rId90" Type="http://schemas.openxmlformats.org/officeDocument/2006/relationships/hyperlink" Target="https://www.boamp.fr/pages/avis/?q=idweb:18-121819" TargetMode="External"/><Relationship Id="rId165" Type="http://schemas.openxmlformats.org/officeDocument/2006/relationships/hyperlink" Target="https://www.boamp.fr/pages/avis/?q=idweb:19-48376" TargetMode="External"/><Relationship Id="rId186" Type="http://schemas.openxmlformats.org/officeDocument/2006/relationships/hyperlink" Target="https://www.boamp.fr/pages/avis/?q=idweb:19-185581" TargetMode="External"/><Relationship Id="rId211" Type="http://schemas.openxmlformats.org/officeDocument/2006/relationships/hyperlink" Target="https://www.boamp.fr/pages/avis/?q=idweb:18-6884" TargetMode="External"/><Relationship Id="rId232" Type="http://schemas.openxmlformats.org/officeDocument/2006/relationships/hyperlink" Target="https://www.boamp.fr/pages/avis/?q=idweb:21-77546" TargetMode="External"/><Relationship Id="rId27" Type="http://schemas.openxmlformats.org/officeDocument/2006/relationships/hyperlink" Target="https://www.boamp.fr/pages/avis/?q=idweb:17-119142" TargetMode="External"/><Relationship Id="rId48" Type="http://schemas.openxmlformats.org/officeDocument/2006/relationships/hyperlink" Target="https://www.boamp.fr/pages/avis/?q=idweb:19-39750" TargetMode="External"/><Relationship Id="rId69" Type="http://schemas.openxmlformats.org/officeDocument/2006/relationships/hyperlink" Target="https://www.boamp.fr/pages/avis/?q=idweb:20-68352" TargetMode="External"/><Relationship Id="rId113" Type="http://schemas.openxmlformats.org/officeDocument/2006/relationships/hyperlink" Target="https://www.boamp.fr/pages/avis/?q=idweb:18-58840" TargetMode="External"/><Relationship Id="rId134" Type="http://schemas.openxmlformats.org/officeDocument/2006/relationships/hyperlink" Target="https://www.boamp.fr/pages/avis/?q=idweb:20-49128" TargetMode="External"/><Relationship Id="rId80" Type="http://schemas.openxmlformats.org/officeDocument/2006/relationships/hyperlink" Target="https://www.boamp.fr/pages/avis/?q=idweb:21-63730" TargetMode="External"/><Relationship Id="rId155" Type="http://schemas.openxmlformats.org/officeDocument/2006/relationships/hyperlink" Target="https://www.boamp.fr/pages/avis/?q=idweb:20-85580" TargetMode="External"/><Relationship Id="rId176" Type="http://schemas.openxmlformats.org/officeDocument/2006/relationships/hyperlink" Target="https://www.boamp.fr/pages/avis/?q=idweb:17-57345" TargetMode="External"/><Relationship Id="rId197" Type="http://schemas.openxmlformats.org/officeDocument/2006/relationships/hyperlink" Target="https://www.boamp.fr/pages/avis/?q=idweb:21-126684" TargetMode="External"/><Relationship Id="rId201" Type="http://schemas.openxmlformats.org/officeDocument/2006/relationships/hyperlink" Target="https://www.boamp.fr/pages/avis/?q=idweb:18-3854" TargetMode="External"/><Relationship Id="rId222" Type="http://schemas.openxmlformats.org/officeDocument/2006/relationships/hyperlink" Target="https://www.boamp.fr/pages/avis/?q=idweb:19-80203" TargetMode="External"/><Relationship Id="rId243" Type="http://schemas.openxmlformats.org/officeDocument/2006/relationships/hyperlink" Target="https://www.boamp.fr/pages/avis/?q=idweb:21-139293" TargetMode="External"/><Relationship Id="rId17" Type="http://schemas.openxmlformats.org/officeDocument/2006/relationships/hyperlink" Target="https://www.boamp.fr/pages/avis/?q=idweb:17-124586" TargetMode="External"/><Relationship Id="rId38" Type="http://schemas.openxmlformats.org/officeDocument/2006/relationships/hyperlink" Target="https://www.boamp.fr/pages/avis/?q=idweb:17-55172" TargetMode="External"/><Relationship Id="rId59" Type="http://schemas.openxmlformats.org/officeDocument/2006/relationships/hyperlink" Target="https://www.boamp.fr/pages/avis/?q=idweb:21-123669" TargetMode="External"/><Relationship Id="rId103" Type="http://schemas.openxmlformats.org/officeDocument/2006/relationships/hyperlink" Target="https://www.boamp.fr/pages/avis/?q=idweb:17-68883" TargetMode="External"/><Relationship Id="rId124" Type="http://schemas.openxmlformats.org/officeDocument/2006/relationships/hyperlink" Target="https://www.boamp.fr/pages/avis/?q=idweb:23-87983" TargetMode="External"/><Relationship Id="rId70" Type="http://schemas.openxmlformats.org/officeDocument/2006/relationships/hyperlink" Target="https://www.boamp.fr/pages/avis/?q=idweb:20-70265" TargetMode="External"/><Relationship Id="rId91" Type="http://schemas.openxmlformats.org/officeDocument/2006/relationships/hyperlink" Target="https://www.boamp.fr/pages/avis/?q=idweb:22-87982" TargetMode="External"/><Relationship Id="rId145" Type="http://schemas.openxmlformats.org/officeDocument/2006/relationships/hyperlink" Target="https://www.boamp.fr/pages/avis/?q=idweb:17-102708" TargetMode="External"/><Relationship Id="rId166" Type="http://schemas.openxmlformats.org/officeDocument/2006/relationships/hyperlink" Target="https://www.boamp.fr/pages/avis/?q=idweb:23-6460" TargetMode="External"/><Relationship Id="rId187" Type="http://schemas.openxmlformats.org/officeDocument/2006/relationships/hyperlink" Target="https://www.boamp.fr/pages/avis/?q=idweb:20-70680" TargetMode="External"/><Relationship Id="rId1" Type="http://schemas.openxmlformats.org/officeDocument/2006/relationships/hyperlink" Target="https://www.boamp.fr/pages/avis/?q=idweb:21-53955" TargetMode="External"/><Relationship Id="rId212" Type="http://schemas.openxmlformats.org/officeDocument/2006/relationships/hyperlink" Target="https://www.boamp.fr/pages/avis/?q=idweb:18-121819" TargetMode="External"/><Relationship Id="rId233" Type="http://schemas.openxmlformats.org/officeDocument/2006/relationships/hyperlink" Target="https://www.boamp.fr/pages/avis/?q=idweb:18-163164" TargetMode="External"/><Relationship Id="rId28" Type="http://schemas.openxmlformats.org/officeDocument/2006/relationships/hyperlink" Target="https://www.boamp.fr/pages/avis/?q=idweb:16-98835" TargetMode="External"/><Relationship Id="rId49" Type="http://schemas.openxmlformats.org/officeDocument/2006/relationships/hyperlink" Target="https://www.boamp.fr/pages/avis/?q=idweb:18-88858" TargetMode="External"/><Relationship Id="rId114" Type="http://schemas.openxmlformats.org/officeDocument/2006/relationships/hyperlink" Target="https://www.boamp.fr/pages/avis/?q=idweb:15-52664" TargetMode="External"/><Relationship Id="rId60" Type="http://schemas.openxmlformats.org/officeDocument/2006/relationships/hyperlink" Target="https://www.boamp.fr/pages/avis/?q=idweb:15-44999" TargetMode="External"/><Relationship Id="rId81" Type="http://schemas.openxmlformats.org/officeDocument/2006/relationships/hyperlink" Target="https://www.boamp.fr/pages/avis/?q=idweb:16-172095" TargetMode="External"/><Relationship Id="rId135" Type="http://schemas.openxmlformats.org/officeDocument/2006/relationships/hyperlink" Target="https://www.boamp.fr/pages/avis/?q=idweb:18-89409" TargetMode="External"/><Relationship Id="rId156" Type="http://schemas.openxmlformats.org/officeDocument/2006/relationships/hyperlink" Target="https://www.boamp.fr/pages/avis/?q=idweb:22-95015" TargetMode="External"/><Relationship Id="rId177" Type="http://schemas.openxmlformats.org/officeDocument/2006/relationships/hyperlink" Target="https://www.boamp.fr/pages/avis/?q=idweb:20-122198" TargetMode="External"/><Relationship Id="rId198" Type="http://schemas.openxmlformats.org/officeDocument/2006/relationships/hyperlink" Target="https://www.boamp.fr/pages/avis/?q=idweb:17-88463" TargetMode="External"/><Relationship Id="rId202" Type="http://schemas.openxmlformats.org/officeDocument/2006/relationships/hyperlink" Target="https://www.boamp.fr/pages/avis/?q=idweb:18-73364" TargetMode="External"/><Relationship Id="rId223" Type="http://schemas.openxmlformats.org/officeDocument/2006/relationships/hyperlink" Target="https://www.boamp.fr/pages/avis/?q=idweb:23-48831" TargetMode="External"/><Relationship Id="rId244" Type="http://schemas.openxmlformats.org/officeDocument/2006/relationships/hyperlink" Target="https://www.boamp.fr/pages/avis/?q=idweb:19-8820" TargetMode="External"/><Relationship Id="rId18" Type="http://schemas.openxmlformats.org/officeDocument/2006/relationships/hyperlink" Target="https://www.boamp.fr/pages/avis/?q=idweb:20-114106" TargetMode="External"/><Relationship Id="rId39" Type="http://schemas.openxmlformats.org/officeDocument/2006/relationships/hyperlink" Target="https://www.boamp.fr/pages/avis/?q=idweb:19-180395" TargetMode="External"/><Relationship Id="rId50" Type="http://schemas.openxmlformats.org/officeDocument/2006/relationships/hyperlink" Target="https://www.boamp.fr/pages/avis/?q=idweb:20-109382" TargetMode="External"/><Relationship Id="rId104" Type="http://schemas.openxmlformats.org/officeDocument/2006/relationships/hyperlink" Target="https://www.boamp.fr/pages/avis/?q=idweb:17-179112" TargetMode="External"/><Relationship Id="rId125" Type="http://schemas.openxmlformats.org/officeDocument/2006/relationships/hyperlink" Target="https://www.boamp.fr/pages/avis/?q=idweb:18-67939" TargetMode="External"/><Relationship Id="rId146" Type="http://schemas.openxmlformats.org/officeDocument/2006/relationships/hyperlink" Target="https://www.boamp.fr/pages/avis/?q=idweb:20-65753" TargetMode="External"/><Relationship Id="rId167" Type="http://schemas.openxmlformats.org/officeDocument/2006/relationships/hyperlink" Target="https://www.boamp.fr/pages/avis/?q=idweb:18-171623" TargetMode="External"/><Relationship Id="rId188" Type="http://schemas.openxmlformats.org/officeDocument/2006/relationships/hyperlink" Target="https://www.boamp.fr/pages/avis/?q=idweb:20-107792" TargetMode="External"/><Relationship Id="rId71" Type="http://schemas.openxmlformats.org/officeDocument/2006/relationships/hyperlink" Target="https://www.boamp.fr/pages/avis/?q=idweb:22-51860" TargetMode="External"/><Relationship Id="rId92" Type="http://schemas.openxmlformats.org/officeDocument/2006/relationships/hyperlink" Target="https://www.boamp.fr/pages/avis/?q=idweb:15-98976" TargetMode="External"/><Relationship Id="rId213" Type="http://schemas.openxmlformats.org/officeDocument/2006/relationships/hyperlink" Target="https://www.boamp.fr/pages/avis/?q=idweb:16-79797" TargetMode="External"/><Relationship Id="rId234" Type="http://schemas.openxmlformats.org/officeDocument/2006/relationships/hyperlink" Target="https://www.boamp.fr/pages/avis/?q=idweb:16-73319" TargetMode="External"/><Relationship Id="rId2" Type="http://schemas.openxmlformats.org/officeDocument/2006/relationships/hyperlink" Target="https://www.boamp.fr/pages/avis/?q=idweb:18-105237" TargetMode="External"/><Relationship Id="rId29" Type="http://schemas.openxmlformats.org/officeDocument/2006/relationships/hyperlink" Target="https://www.boamp.fr/pages/avis/?q=idweb:17-104307" TargetMode="External"/><Relationship Id="rId40" Type="http://schemas.openxmlformats.org/officeDocument/2006/relationships/hyperlink" Target="https://www.boamp.fr/pages/avis/?q=idweb:22-103042" TargetMode="External"/><Relationship Id="rId115" Type="http://schemas.openxmlformats.org/officeDocument/2006/relationships/hyperlink" Target="https://www.boamp.fr/pages/avis/?q=idweb:19-34512" TargetMode="External"/><Relationship Id="rId136" Type="http://schemas.openxmlformats.org/officeDocument/2006/relationships/hyperlink" Target="https://www.boamp.fr/pages/avis/?q=idweb:21-125536" TargetMode="External"/><Relationship Id="rId157" Type="http://schemas.openxmlformats.org/officeDocument/2006/relationships/hyperlink" Target="https://www.boamp.fr/pages/avis/?q=idweb:23-104062" TargetMode="External"/><Relationship Id="rId178" Type="http://schemas.openxmlformats.org/officeDocument/2006/relationships/hyperlink" Target="https://www.boamp.fr/pages/avis/?q=idweb:15-178791" TargetMode="External"/><Relationship Id="rId61" Type="http://schemas.openxmlformats.org/officeDocument/2006/relationships/hyperlink" Target="https://www.boamp.fr/pages/avis/?q=idweb:19-126819" TargetMode="External"/><Relationship Id="rId82" Type="http://schemas.openxmlformats.org/officeDocument/2006/relationships/hyperlink" Target="https://www.boamp.fr/pages/avis/?q=idweb:17-127198" TargetMode="External"/><Relationship Id="rId199" Type="http://schemas.openxmlformats.org/officeDocument/2006/relationships/hyperlink" Target="https://www.boamp.fr/pages/avis/?q=idweb:20-115241" TargetMode="External"/><Relationship Id="rId203" Type="http://schemas.openxmlformats.org/officeDocument/2006/relationships/hyperlink" Target="https://www.boamp.fr/pages/avis/?q=idweb:15-51571" TargetMode="External"/><Relationship Id="rId19" Type="http://schemas.openxmlformats.org/officeDocument/2006/relationships/hyperlink" Target="https://www.boamp.fr/pages/avis/?q=idweb:21-130956" TargetMode="External"/><Relationship Id="rId224" Type="http://schemas.openxmlformats.org/officeDocument/2006/relationships/hyperlink" Target="https://www.boamp.fr/pages/avis/?q=idweb:22-162609" TargetMode="External"/><Relationship Id="rId245" Type="http://schemas.openxmlformats.org/officeDocument/2006/relationships/hyperlink" Target="https://www.boamp.fr/pages/avis/?q=idweb:17-8714" TargetMode="External"/><Relationship Id="rId30" Type="http://schemas.openxmlformats.org/officeDocument/2006/relationships/hyperlink" Target="https://www.boamp.fr/pages/avis/?q=idweb:21-169350" TargetMode="External"/><Relationship Id="rId105" Type="http://schemas.openxmlformats.org/officeDocument/2006/relationships/hyperlink" Target="https://www.boamp.fr/pages/avis/?q=idweb:22-39891" TargetMode="External"/><Relationship Id="rId126" Type="http://schemas.openxmlformats.org/officeDocument/2006/relationships/hyperlink" Target="https://www.boamp.fr/pages/avis/?q=idweb:16-27767" TargetMode="External"/><Relationship Id="rId147" Type="http://schemas.openxmlformats.org/officeDocument/2006/relationships/hyperlink" Target="https://www.boamp.fr/pages/avis/?q=idweb:15-111481" TargetMode="External"/><Relationship Id="rId168" Type="http://schemas.openxmlformats.org/officeDocument/2006/relationships/hyperlink" Target="https://www.boamp.fr/pages/avis/?q=idweb:22-69458" TargetMode="External"/><Relationship Id="rId51" Type="http://schemas.openxmlformats.org/officeDocument/2006/relationships/hyperlink" Target="https://www.boamp.fr/pages/avis/?q=idweb:15-96106" TargetMode="External"/><Relationship Id="rId72" Type="http://schemas.openxmlformats.org/officeDocument/2006/relationships/hyperlink" Target="https://www.boamp.fr/pages/avis/?q=idweb:19-27651" TargetMode="External"/><Relationship Id="rId93" Type="http://schemas.openxmlformats.org/officeDocument/2006/relationships/hyperlink" Target="https://www.boamp.fr/pages/avis/?q=idweb:17-44758" TargetMode="External"/><Relationship Id="rId189" Type="http://schemas.openxmlformats.org/officeDocument/2006/relationships/hyperlink" Target="https://www.boamp.fr/pages/avis/?q=idweb:21-67958" TargetMode="External"/><Relationship Id="rId3" Type="http://schemas.openxmlformats.org/officeDocument/2006/relationships/hyperlink" Target="https://www.boamp.fr/pages/avis/?q=idweb:19-32405" TargetMode="External"/><Relationship Id="rId214" Type="http://schemas.openxmlformats.org/officeDocument/2006/relationships/hyperlink" Target="https://www.boamp.fr/pages/avis/?q=idweb:17-39998" TargetMode="External"/><Relationship Id="rId235" Type="http://schemas.openxmlformats.org/officeDocument/2006/relationships/hyperlink" Target="https://www.boamp.fr/pages/avis/?q=idweb:20-70268" TargetMode="External"/><Relationship Id="rId116" Type="http://schemas.openxmlformats.org/officeDocument/2006/relationships/hyperlink" Target="https://www.boamp.fr/pages/avis/?q=idweb:17-58113" TargetMode="External"/><Relationship Id="rId137" Type="http://schemas.openxmlformats.org/officeDocument/2006/relationships/hyperlink" Target="https://www.boamp.fr/pages/avis/?q=idweb:19-41115" TargetMode="External"/><Relationship Id="rId158" Type="http://schemas.openxmlformats.org/officeDocument/2006/relationships/hyperlink" Target="https://www.boamp.fr/pages/avis/?q=idweb:18-93359" TargetMode="External"/><Relationship Id="rId20" Type="http://schemas.openxmlformats.org/officeDocument/2006/relationships/hyperlink" Target="https://www.boamp.fr/pages/avis/?q=idweb:23-174149" TargetMode="External"/><Relationship Id="rId41" Type="http://schemas.openxmlformats.org/officeDocument/2006/relationships/hyperlink" Target="https://www.boamp.fr/pages/avis/?q=idweb:17-71849" TargetMode="External"/><Relationship Id="rId62" Type="http://schemas.openxmlformats.org/officeDocument/2006/relationships/hyperlink" Target="https://www.boamp.fr/pages/avis/?q=idweb:21-102565" TargetMode="External"/><Relationship Id="rId83" Type="http://schemas.openxmlformats.org/officeDocument/2006/relationships/hyperlink" Target="https://www.boamp.fr/pages/avis/?q=idweb:18-135728" TargetMode="External"/><Relationship Id="rId179" Type="http://schemas.openxmlformats.org/officeDocument/2006/relationships/hyperlink" Target="https://www.boamp.fr/pages/avis/?q=idweb:20-12070" TargetMode="External"/><Relationship Id="rId190" Type="http://schemas.openxmlformats.org/officeDocument/2006/relationships/hyperlink" Target="https://www.boamp.fr/pages/avis/?q=idweb:19-99589" TargetMode="External"/><Relationship Id="rId204" Type="http://schemas.openxmlformats.org/officeDocument/2006/relationships/hyperlink" Target="https://www.boamp.fr/pages/avis/?q=idweb:19-177220" TargetMode="External"/><Relationship Id="rId225" Type="http://schemas.openxmlformats.org/officeDocument/2006/relationships/hyperlink" Target="https://www.boamp.fr/pages/avis/?q=idweb:23-23753" TargetMode="External"/><Relationship Id="rId246" Type="http://schemas.openxmlformats.org/officeDocument/2006/relationships/hyperlink" Target="https://www.boamp.fr/pages/avis/?q=idweb:20-150503" TargetMode="External"/><Relationship Id="rId106" Type="http://schemas.openxmlformats.org/officeDocument/2006/relationships/hyperlink" Target="https://www.boamp.fr/pages/avis/?q=idweb:19-103125" TargetMode="External"/><Relationship Id="rId127" Type="http://schemas.openxmlformats.org/officeDocument/2006/relationships/hyperlink" Target="https://www.boamp.fr/pages/avis/?q=idweb:20-154115" TargetMode="External"/><Relationship Id="rId10" Type="http://schemas.openxmlformats.org/officeDocument/2006/relationships/hyperlink" Target="https://www.boamp.fr/pages/avis/?q=idweb:16-105530" TargetMode="External"/><Relationship Id="rId31" Type="http://schemas.openxmlformats.org/officeDocument/2006/relationships/hyperlink" Target="https://www.boamp.fr/pages/avis/?q=idweb:16-85662" TargetMode="External"/><Relationship Id="rId52" Type="http://schemas.openxmlformats.org/officeDocument/2006/relationships/hyperlink" Target="https://www.boamp.fr/pages/avis/?q=idweb:19-103125" TargetMode="External"/><Relationship Id="rId73" Type="http://schemas.openxmlformats.org/officeDocument/2006/relationships/hyperlink" Target="https://www.boamp.fr/pages/avis/?q=idweb:15-96786" TargetMode="External"/><Relationship Id="rId94" Type="http://schemas.openxmlformats.org/officeDocument/2006/relationships/hyperlink" Target="https://www.boamp.fr/pages/avis/?q=idweb:18-149889" TargetMode="External"/><Relationship Id="rId148" Type="http://schemas.openxmlformats.org/officeDocument/2006/relationships/hyperlink" Target="https://www.boamp.fr/pages/avis/?q=idweb:19-59985" TargetMode="External"/><Relationship Id="rId169" Type="http://schemas.openxmlformats.org/officeDocument/2006/relationships/hyperlink" Target="https://www.boamp.fr/pages/avis/?q=idweb:20-125567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amp.fr/pages/avis/?q=idweb:19-177026" TargetMode="External"/><Relationship Id="rId21" Type="http://schemas.openxmlformats.org/officeDocument/2006/relationships/hyperlink" Target="https://www.boamp.fr/pages/avis/?q=idweb:17-168569" TargetMode="External"/><Relationship Id="rId42" Type="http://schemas.openxmlformats.org/officeDocument/2006/relationships/hyperlink" Target="https://www.boamp.fr/pages/avis/?q=idweb:18-30222" TargetMode="External"/><Relationship Id="rId63" Type="http://schemas.openxmlformats.org/officeDocument/2006/relationships/hyperlink" Target="https://www.boamp.fr/pages/avis/?q=idweb:22-19299" TargetMode="External"/><Relationship Id="rId84" Type="http://schemas.openxmlformats.org/officeDocument/2006/relationships/hyperlink" Target="https://www.boamp.fr/pages/avis/?q=idweb:19-174098" TargetMode="External"/><Relationship Id="rId138" Type="http://schemas.openxmlformats.org/officeDocument/2006/relationships/hyperlink" Target="https://www.boamp.fr/pages/avis/?q=idweb:21-142218" TargetMode="External"/><Relationship Id="rId159" Type="http://schemas.openxmlformats.org/officeDocument/2006/relationships/hyperlink" Target="https://www.boamp.fr/pages/avis/?q=idweb:18-93488" TargetMode="External"/><Relationship Id="rId170" Type="http://schemas.openxmlformats.org/officeDocument/2006/relationships/hyperlink" Target="https://www.boamp.fr/pages/avis/?q=idweb:21-67771" TargetMode="External"/><Relationship Id="rId191" Type="http://schemas.openxmlformats.org/officeDocument/2006/relationships/hyperlink" Target="https://www.boamp.fr/pages/avis/?q=idweb:23-97071" TargetMode="External"/><Relationship Id="rId205" Type="http://schemas.openxmlformats.org/officeDocument/2006/relationships/hyperlink" Target="https://www.boamp.fr/pages/avis/?q=idweb:20-71239" TargetMode="External"/><Relationship Id="rId226" Type="http://schemas.openxmlformats.org/officeDocument/2006/relationships/hyperlink" Target="https://www.boamp.fr/pages/avis/?q=idweb:18-133090" TargetMode="External"/><Relationship Id="rId247" Type="http://schemas.openxmlformats.org/officeDocument/2006/relationships/hyperlink" Target="https://www.boamp.fr/pages/avis/?q=idweb:15-124226" TargetMode="External"/><Relationship Id="rId107" Type="http://schemas.openxmlformats.org/officeDocument/2006/relationships/hyperlink" Target="https://www.boamp.fr/pages/avis/?q=idweb:20-6485" TargetMode="External"/><Relationship Id="rId11" Type="http://schemas.openxmlformats.org/officeDocument/2006/relationships/hyperlink" Target="https://www.boamp.fr/pages/avis/?q=idweb:16-16627" TargetMode="External"/><Relationship Id="rId32" Type="http://schemas.openxmlformats.org/officeDocument/2006/relationships/hyperlink" Target="https://www.boamp.fr/pages/avis/?q=idweb:17-68186" TargetMode="External"/><Relationship Id="rId53" Type="http://schemas.openxmlformats.org/officeDocument/2006/relationships/hyperlink" Target="https://www.boamp.fr/pages/avis/?q=idweb:18-146639" TargetMode="External"/><Relationship Id="rId74" Type="http://schemas.openxmlformats.org/officeDocument/2006/relationships/hyperlink" Target="https://www.boamp.fr/pages/avis/?q=idweb:19-48030" TargetMode="External"/><Relationship Id="rId128" Type="http://schemas.openxmlformats.org/officeDocument/2006/relationships/hyperlink" Target="https://www.boamp.fr/pages/avis/?q=idweb:18-166821" TargetMode="External"/><Relationship Id="rId149" Type="http://schemas.openxmlformats.org/officeDocument/2006/relationships/hyperlink" Target="https://www.boamp.fr/pages/avis/?q=idweb:20-75569" TargetMode="External"/><Relationship Id="rId5" Type="http://schemas.openxmlformats.org/officeDocument/2006/relationships/hyperlink" Target="https://www.boamp.fr/pages/avis/?q=idweb:18-76556" TargetMode="External"/><Relationship Id="rId95" Type="http://schemas.openxmlformats.org/officeDocument/2006/relationships/hyperlink" Target="https://www.boamp.fr/pages/avis/?q=idweb:17-143241" TargetMode="External"/><Relationship Id="rId160" Type="http://schemas.openxmlformats.org/officeDocument/2006/relationships/hyperlink" Target="https://www.boamp.fr/pages/avis/?q=idweb:20-54010" TargetMode="External"/><Relationship Id="rId181" Type="http://schemas.openxmlformats.org/officeDocument/2006/relationships/hyperlink" Target="https://www.boamp.fr/pages/avis/?q=idweb:22-44037" TargetMode="External"/><Relationship Id="rId216" Type="http://schemas.openxmlformats.org/officeDocument/2006/relationships/hyperlink" Target="https://www.boamp.fr/pages/avis/?q=idweb:19-181393" TargetMode="External"/><Relationship Id="rId237" Type="http://schemas.openxmlformats.org/officeDocument/2006/relationships/hyperlink" Target="https://www.boamp.fr/pages/avis/?q=idweb:18-55179" TargetMode="External"/><Relationship Id="rId22" Type="http://schemas.openxmlformats.org/officeDocument/2006/relationships/hyperlink" Target="https://www.boamp.fr/pages/avis/?q=idweb:22-21573" TargetMode="External"/><Relationship Id="rId43" Type="http://schemas.openxmlformats.org/officeDocument/2006/relationships/hyperlink" Target="https://www.boamp.fr/pages/avis/?q=idweb:18-174875" TargetMode="External"/><Relationship Id="rId64" Type="http://schemas.openxmlformats.org/officeDocument/2006/relationships/hyperlink" Target="https://www.boamp.fr/pages/avis/?q=idweb:16-63342" TargetMode="External"/><Relationship Id="rId118" Type="http://schemas.openxmlformats.org/officeDocument/2006/relationships/hyperlink" Target="https://www.boamp.fr/pages/avis/?q=idweb:15-139094" TargetMode="External"/><Relationship Id="rId139" Type="http://schemas.openxmlformats.org/officeDocument/2006/relationships/hyperlink" Target="https://www.boamp.fr/pages/avis/?q=idweb:18-15680" TargetMode="External"/><Relationship Id="rId85" Type="http://schemas.openxmlformats.org/officeDocument/2006/relationships/hyperlink" Target="https://www.boamp.fr/pages/avis/?q=idweb:21-116891" TargetMode="External"/><Relationship Id="rId150" Type="http://schemas.openxmlformats.org/officeDocument/2006/relationships/hyperlink" Target="https://www.boamp.fr/pages/avis/?q=idweb:22-38732" TargetMode="External"/><Relationship Id="rId171" Type="http://schemas.openxmlformats.org/officeDocument/2006/relationships/hyperlink" Target="https://www.boamp.fr/pages/avis/?q=idweb:17-29415" TargetMode="External"/><Relationship Id="rId192" Type="http://schemas.openxmlformats.org/officeDocument/2006/relationships/hyperlink" Target="https://www.boamp.fr/pages/avis/?q=idweb:16-111867" TargetMode="External"/><Relationship Id="rId206" Type="http://schemas.openxmlformats.org/officeDocument/2006/relationships/hyperlink" Target="https://www.boamp.fr/pages/avis/?q=idweb:18-87219" TargetMode="External"/><Relationship Id="rId227" Type="http://schemas.openxmlformats.org/officeDocument/2006/relationships/hyperlink" Target="https://www.boamp.fr/pages/avis/?q=idweb:20-155309" TargetMode="External"/><Relationship Id="rId248" Type="http://schemas.openxmlformats.org/officeDocument/2006/relationships/hyperlink" Target="https://www.boamp.fr/pages/avis/?q=idweb:19-71679" TargetMode="External"/><Relationship Id="rId12" Type="http://schemas.openxmlformats.org/officeDocument/2006/relationships/hyperlink" Target="https://www.boamp.fr/pages/avis/?q=idweb:19-160471" TargetMode="External"/><Relationship Id="rId33" Type="http://schemas.openxmlformats.org/officeDocument/2006/relationships/hyperlink" Target="https://www.boamp.fr/pages/avis/?q=idweb:19-32405" TargetMode="External"/><Relationship Id="rId108" Type="http://schemas.openxmlformats.org/officeDocument/2006/relationships/hyperlink" Target="https://www.boamp.fr/pages/avis/?q=idweb:20-72791" TargetMode="External"/><Relationship Id="rId129" Type="http://schemas.openxmlformats.org/officeDocument/2006/relationships/hyperlink" Target="https://www.boamp.fr/pages/avis/?q=idweb:20-4011" TargetMode="External"/><Relationship Id="rId54" Type="http://schemas.openxmlformats.org/officeDocument/2006/relationships/hyperlink" Target="https://www.boamp.fr/pages/avis/?q=idweb:19-119207" TargetMode="External"/><Relationship Id="rId75" Type="http://schemas.openxmlformats.org/officeDocument/2006/relationships/hyperlink" Target="https://www.boamp.fr/pages/avis/?q=idweb:23-43054" TargetMode="External"/><Relationship Id="rId96" Type="http://schemas.openxmlformats.org/officeDocument/2006/relationships/hyperlink" Target="https://www.boamp.fr/pages/avis/?q=idweb:23-60788" TargetMode="External"/><Relationship Id="rId140" Type="http://schemas.openxmlformats.org/officeDocument/2006/relationships/hyperlink" Target="https://www.boamp.fr/pages/avis/?q=idweb:22-94408" TargetMode="External"/><Relationship Id="rId161" Type="http://schemas.openxmlformats.org/officeDocument/2006/relationships/hyperlink" Target="https://www.boamp.fr/pages/avis/?q=idweb:18-26824" TargetMode="External"/><Relationship Id="rId182" Type="http://schemas.openxmlformats.org/officeDocument/2006/relationships/hyperlink" Target="https://www.boamp.fr/pages/avis/?q=idweb:16-104455" TargetMode="External"/><Relationship Id="rId217" Type="http://schemas.openxmlformats.org/officeDocument/2006/relationships/hyperlink" Target="https://www.boamp.fr/pages/avis/?q=idweb:16-78018" TargetMode="External"/><Relationship Id="rId6" Type="http://schemas.openxmlformats.org/officeDocument/2006/relationships/hyperlink" Target="https://www.boamp.fr/pages/avis/?q=idweb:19-190109" TargetMode="External"/><Relationship Id="rId238" Type="http://schemas.openxmlformats.org/officeDocument/2006/relationships/hyperlink" Target="https://www.boamp.fr/pages/avis/?q=idweb:17-102187" TargetMode="External"/><Relationship Id="rId23" Type="http://schemas.openxmlformats.org/officeDocument/2006/relationships/hyperlink" Target="https://www.boamp.fr/pages/avis/?q=idweb:17-159373" TargetMode="External"/><Relationship Id="rId119" Type="http://schemas.openxmlformats.org/officeDocument/2006/relationships/hyperlink" Target="https://www.boamp.fr/pages/avis/?q=idweb:17-173975" TargetMode="External"/><Relationship Id="rId44" Type="http://schemas.openxmlformats.org/officeDocument/2006/relationships/hyperlink" Target="https://www.boamp.fr/pages/avis/?q=idweb:23-34854" TargetMode="External"/><Relationship Id="rId65" Type="http://schemas.openxmlformats.org/officeDocument/2006/relationships/hyperlink" Target="https://www.boamp.fr/pages/avis/?q=idweb:20-132336" TargetMode="External"/><Relationship Id="rId86" Type="http://schemas.openxmlformats.org/officeDocument/2006/relationships/hyperlink" Target="https://www.boamp.fr/pages/avis/?q=idweb:16-56502" TargetMode="External"/><Relationship Id="rId130" Type="http://schemas.openxmlformats.org/officeDocument/2006/relationships/hyperlink" Target="https://www.boamp.fr/pages/avis/?q=idweb:17-176560" TargetMode="External"/><Relationship Id="rId151" Type="http://schemas.openxmlformats.org/officeDocument/2006/relationships/hyperlink" Target="https://www.boamp.fr/pages/avis/?q=idweb:19-33752" TargetMode="External"/><Relationship Id="rId172" Type="http://schemas.openxmlformats.org/officeDocument/2006/relationships/hyperlink" Target="https://www.boamp.fr/pages/avis/?q=idweb:21-77546" TargetMode="External"/><Relationship Id="rId193" Type="http://schemas.openxmlformats.org/officeDocument/2006/relationships/hyperlink" Target="https://www.boamp.fr/pages/avis/?q=idweb:22-127882" TargetMode="External"/><Relationship Id="rId207" Type="http://schemas.openxmlformats.org/officeDocument/2006/relationships/hyperlink" Target="https://www.boamp.fr/pages/avis/?q=idweb:16-153566" TargetMode="External"/><Relationship Id="rId228" Type="http://schemas.openxmlformats.org/officeDocument/2006/relationships/hyperlink" Target="https://www.boamp.fr/pages/avis/?q=idweb:17-144102" TargetMode="External"/><Relationship Id="rId249" Type="http://schemas.openxmlformats.org/officeDocument/2006/relationships/hyperlink" Target="https://www.boamp.fr/pages/avis/?q=idweb:20-9474" TargetMode="External"/><Relationship Id="rId13" Type="http://schemas.openxmlformats.org/officeDocument/2006/relationships/hyperlink" Target="https://www.boamp.fr/pages/avis/?q=idweb:17-128615" TargetMode="External"/><Relationship Id="rId109" Type="http://schemas.openxmlformats.org/officeDocument/2006/relationships/hyperlink" Target="https://www.boamp.fr/pages/avis/?q=idweb:21-126360" TargetMode="External"/><Relationship Id="rId34" Type="http://schemas.openxmlformats.org/officeDocument/2006/relationships/hyperlink" Target="https://www.boamp.fr/pages/avis/?q=idweb:20-12202" TargetMode="External"/><Relationship Id="rId55" Type="http://schemas.openxmlformats.org/officeDocument/2006/relationships/hyperlink" Target="https://www.boamp.fr/pages/avis/?q=idweb:16-97484" TargetMode="External"/><Relationship Id="rId76" Type="http://schemas.openxmlformats.org/officeDocument/2006/relationships/hyperlink" Target="https://www.boamp.fr/pages/avis/?q=idweb:19-174412" TargetMode="External"/><Relationship Id="rId97" Type="http://schemas.openxmlformats.org/officeDocument/2006/relationships/hyperlink" Target="https://www.boamp.fr/pages/avis/?q=idweb:21-50135" TargetMode="External"/><Relationship Id="rId120" Type="http://schemas.openxmlformats.org/officeDocument/2006/relationships/hyperlink" Target="https://www.boamp.fr/pages/avis/?q=idweb:19-137030" TargetMode="External"/><Relationship Id="rId141" Type="http://schemas.openxmlformats.org/officeDocument/2006/relationships/hyperlink" Target="https://www.boamp.fr/pages/avis/?q=idweb:19-21081" TargetMode="External"/><Relationship Id="rId7" Type="http://schemas.openxmlformats.org/officeDocument/2006/relationships/hyperlink" Target="https://www.boamp.fr/pages/avis/?q=idweb:17-25253" TargetMode="External"/><Relationship Id="rId162" Type="http://schemas.openxmlformats.org/officeDocument/2006/relationships/hyperlink" Target="https://www.boamp.fr/pages/avis/?q=idweb:19-1779" TargetMode="External"/><Relationship Id="rId183" Type="http://schemas.openxmlformats.org/officeDocument/2006/relationships/hyperlink" Target="https://www.boamp.fr/pages/avis/?q=idweb:16-48232" TargetMode="External"/><Relationship Id="rId218" Type="http://schemas.openxmlformats.org/officeDocument/2006/relationships/hyperlink" Target="https://www.boamp.fr/pages/avis/?q=idweb:21-26779" TargetMode="External"/><Relationship Id="rId239" Type="http://schemas.openxmlformats.org/officeDocument/2006/relationships/hyperlink" Target="https://www.boamp.fr/pages/avis/?q=idweb:19-190328" TargetMode="External"/><Relationship Id="rId250" Type="http://schemas.openxmlformats.org/officeDocument/2006/relationships/hyperlink" Target="https://www.boamp.fr/pages/avis/?q=idweb:22-15926" TargetMode="External"/><Relationship Id="rId24" Type="http://schemas.openxmlformats.org/officeDocument/2006/relationships/hyperlink" Target="https://www.boamp.fr/pages/avis/?q=idweb:22-87982" TargetMode="External"/><Relationship Id="rId45" Type="http://schemas.openxmlformats.org/officeDocument/2006/relationships/hyperlink" Target="https://www.boamp.fr/pages/avis/?q=idweb:15-63153" TargetMode="External"/><Relationship Id="rId66" Type="http://schemas.openxmlformats.org/officeDocument/2006/relationships/hyperlink" Target="https://www.boamp.fr/pages/avis/?q=idweb:22-72719" TargetMode="External"/><Relationship Id="rId87" Type="http://schemas.openxmlformats.org/officeDocument/2006/relationships/hyperlink" Target="https://www.boamp.fr/pages/avis/?q=idweb:17-39457" TargetMode="External"/><Relationship Id="rId110" Type="http://schemas.openxmlformats.org/officeDocument/2006/relationships/hyperlink" Target="https://www.boamp.fr/pages/avis/?q=idweb:17-22230" TargetMode="External"/><Relationship Id="rId131" Type="http://schemas.openxmlformats.org/officeDocument/2006/relationships/hyperlink" Target="https://www.boamp.fr/pages/avis/?q=idweb:20-52846" TargetMode="External"/><Relationship Id="rId152" Type="http://schemas.openxmlformats.org/officeDocument/2006/relationships/hyperlink" Target="https://www.boamp.fr/pages/avis/?q=idweb:21-137461" TargetMode="External"/><Relationship Id="rId173" Type="http://schemas.openxmlformats.org/officeDocument/2006/relationships/hyperlink" Target="https://www.boamp.fr/pages/avis/?q=idweb:18-56546" TargetMode="External"/><Relationship Id="rId194" Type="http://schemas.openxmlformats.org/officeDocument/2006/relationships/hyperlink" Target="https://www.boamp.fr/pages/avis/?q=idweb:15-136371" TargetMode="External"/><Relationship Id="rId208" Type="http://schemas.openxmlformats.org/officeDocument/2006/relationships/hyperlink" Target="https://www.boamp.fr/pages/avis/?q=idweb:19-62635" TargetMode="External"/><Relationship Id="rId229" Type="http://schemas.openxmlformats.org/officeDocument/2006/relationships/hyperlink" Target="https://www.boamp.fr/pages/avis/?q=idweb:21-152470" TargetMode="External"/><Relationship Id="rId240" Type="http://schemas.openxmlformats.org/officeDocument/2006/relationships/hyperlink" Target="https://www.boamp.fr/pages/avis/?q=idweb:21-39936" TargetMode="External"/><Relationship Id="rId14" Type="http://schemas.openxmlformats.org/officeDocument/2006/relationships/hyperlink" Target="https://www.boamp.fr/pages/avis/?q=idweb:17-147216" TargetMode="External"/><Relationship Id="rId35" Type="http://schemas.openxmlformats.org/officeDocument/2006/relationships/hyperlink" Target="https://www.boamp.fr/pages/avis/?q=idweb:19-8916" TargetMode="External"/><Relationship Id="rId56" Type="http://schemas.openxmlformats.org/officeDocument/2006/relationships/hyperlink" Target="https://www.boamp.fr/pages/avis/?q=idweb:20-27109" TargetMode="External"/><Relationship Id="rId77" Type="http://schemas.openxmlformats.org/officeDocument/2006/relationships/hyperlink" Target="https://www.boamp.fr/pages/avis/?q=idweb:22-141031" TargetMode="External"/><Relationship Id="rId100" Type="http://schemas.openxmlformats.org/officeDocument/2006/relationships/hyperlink" Target="https://www.boamp.fr/pages/avis/?q=idweb:19-41115" TargetMode="External"/><Relationship Id="rId8" Type="http://schemas.openxmlformats.org/officeDocument/2006/relationships/hyperlink" Target="https://www.boamp.fr/pages/avis/?q=idweb:16-62960" TargetMode="External"/><Relationship Id="rId98" Type="http://schemas.openxmlformats.org/officeDocument/2006/relationships/hyperlink" Target="https://www.boamp.fr/pages/avis/?q=idweb:23-101767" TargetMode="External"/><Relationship Id="rId121" Type="http://schemas.openxmlformats.org/officeDocument/2006/relationships/hyperlink" Target="https://www.boamp.fr/pages/avis/?q=idweb:17-79002" TargetMode="External"/><Relationship Id="rId142" Type="http://schemas.openxmlformats.org/officeDocument/2006/relationships/hyperlink" Target="https://www.boamp.fr/pages/avis/?q=idweb:15-87511" TargetMode="External"/><Relationship Id="rId163" Type="http://schemas.openxmlformats.org/officeDocument/2006/relationships/hyperlink" Target="https://www.boamp.fr/pages/avis/?q=idweb:19-10428" TargetMode="External"/><Relationship Id="rId184" Type="http://schemas.openxmlformats.org/officeDocument/2006/relationships/hyperlink" Target="https://www.boamp.fr/pages/avis/?q=idweb:20-27358" TargetMode="External"/><Relationship Id="rId219" Type="http://schemas.openxmlformats.org/officeDocument/2006/relationships/hyperlink" Target="https://www.boamp.fr/pages/avis/?q=idweb:23-73693" TargetMode="External"/><Relationship Id="rId230" Type="http://schemas.openxmlformats.org/officeDocument/2006/relationships/hyperlink" Target="https://www.boamp.fr/pages/avis/?q=idweb:22-162095" TargetMode="External"/><Relationship Id="rId25" Type="http://schemas.openxmlformats.org/officeDocument/2006/relationships/hyperlink" Target="https://www.boamp.fr/pages/avis/?q=idweb:16-30715" TargetMode="External"/><Relationship Id="rId46" Type="http://schemas.openxmlformats.org/officeDocument/2006/relationships/hyperlink" Target="https://www.boamp.fr/pages/avis/?q=idweb:19-75795" TargetMode="External"/><Relationship Id="rId67" Type="http://schemas.openxmlformats.org/officeDocument/2006/relationships/hyperlink" Target="https://www.boamp.fr/pages/avis/?q=idweb:23-47137" TargetMode="External"/><Relationship Id="rId88" Type="http://schemas.openxmlformats.org/officeDocument/2006/relationships/hyperlink" Target="https://www.boamp.fr/pages/avis/?q=idweb:18-87219" TargetMode="External"/><Relationship Id="rId111" Type="http://schemas.openxmlformats.org/officeDocument/2006/relationships/hyperlink" Target="https://www.boamp.fr/pages/avis/?q=idweb:17-93952" TargetMode="External"/><Relationship Id="rId132" Type="http://schemas.openxmlformats.org/officeDocument/2006/relationships/hyperlink" Target="https://www.boamp.fr/pages/avis/?q=idweb:18-149893" TargetMode="External"/><Relationship Id="rId153" Type="http://schemas.openxmlformats.org/officeDocument/2006/relationships/hyperlink" Target="https://www.boamp.fr/pages/avis/?q=idweb:19-12872" TargetMode="External"/><Relationship Id="rId174" Type="http://schemas.openxmlformats.org/officeDocument/2006/relationships/hyperlink" Target="https://www.boamp.fr/pages/avis/?q=idweb:22-69242" TargetMode="External"/><Relationship Id="rId195" Type="http://schemas.openxmlformats.org/officeDocument/2006/relationships/hyperlink" Target="https://www.boamp.fr/pages/avis/?q=idweb:18-154990" TargetMode="External"/><Relationship Id="rId209" Type="http://schemas.openxmlformats.org/officeDocument/2006/relationships/hyperlink" Target="https://www.boamp.fr/pages/avis/?q=idweb:23-6087" TargetMode="External"/><Relationship Id="rId220" Type="http://schemas.openxmlformats.org/officeDocument/2006/relationships/hyperlink" Target="https://www.boamp.fr/pages/avis/?q=idweb:20-23104" TargetMode="External"/><Relationship Id="rId241" Type="http://schemas.openxmlformats.org/officeDocument/2006/relationships/hyperlink" Target="https://www.boamp.fr/pages/avis/?q=idweb:22-122102" TargetMode="External"/><Relationship Id="rId15" Type="http://schemas.openxmlformats.org/officeDocument/2006/relationships/hyperlink" Target="https://www.boamp.fr/pages/avis/?q=idweb:19-125270" TargetMode="External"/><Relationship Id="rId36" Type="http://schemas.openxmlformats.org/officeDocument/2006/relationships/hyperlink" Target="https://www.boamp.fr/pages/avis/?q=idweb:19-176963" TargetMode="External"/><Relationship Id="rId57" Type="http://schemas.openxmlformats.org/officeDocument/2006/relationships/hyperlink" Target="https://www.boamp.fr/pages/avis/?q=idweb:20-61130" TargetMode="External"/><Relationship Id="rId78" Type="http://schemas.openxmlformats.org/officeDocument/2006/relationships/hyperlink" Target="https://www.boamp.fr/pages/avis/?q=idweb:21-86124" TargetMode="External"/><Relationship Id="rId99" Type="http://schemas.openxmlformats.org/officeDocument/2006/relationships/hyperlink" Target="https://www.boamp.fr/pages/avis/?q=idweb:18-103319" TargetMode="External"/><Relationship Id="rId101" Type="http://schemas.openxmlformats.org/officeDocument/2006/relationships/hyperlink" Target="https://www.boamp.fr/pages/avis/?q=idweb:16-151887" TargetMode="External"/><Relationship Id="rId122" Type="http://schemas.openxmlformats.org/officeDocument/2006/relationships/hyperlink" Target="https://www.boamp.fr/pages/avis/?q=idweb:20-140005" TargetMode="External"/><Relationship Id="rId143" Type="http://schemas.openxmlformats.org/officeDocument/2006/relationships/hyperlink" Target="https://www.boamp.fr/pages/avis/?q=idweb:15-78916" TargetMode="External"/><Relationship Id="rId164" Type="http://schemas.openxmlformats.org/officeDocument/2006/relationships/hyperlink" Target="https://www.boamp.fr/pages/avis/?q=idweb:20-70265" TargetMode="External"/><Relationship Id="rId185" Type="http://schemas.openxmlformats.org/officeDocument/2006/relationships/hyperlink" Target="https://www.boamp.fr/pages/avis/?q=idweb:16-55493" TargetMode="External"/><Relationship Id="rId4" Type="http://schemas.openxmlformats.org/officeDocument/2006/relationships/hyperlink" Target="https://www.boamp.fr/pages/avis/?q=idweb:15-83632" TargetMode="External"/><Relationship Id="rId9" Type="http://schemas.openxmlformats.org/officeDocument/2006/relationships/hyperlink" Target="https://www.boamp.fr/pages/avis/?q=idweb:20-38676" TargetMode="External"/><Relationship Id="rId180" Type="http://schemas.openxmlformats.org/officeDocument/2006/relationships/hyperlink" Target="https://www.boamp.fr/pages/avis/?q=idweb:17-165815" TargetMode="External"/><Relationship Id="rId210" Type="http://schemas.openxmlformats.org/officeDocument/2006/relationships/hyperlink" Target="https://www.boamp.fr/pages/avis/?q=idweb:22-102718" TargetMode="External"/><Relationship Id="rId215" Type="http://schemas.openxmlformats.org/officeDocument/2006/relationships/hyperlink" Target="https://www.boamp.fr/pages/avis/?q=idweb:19-51855" TargetMode="External"/><Relationship Id="rId236" Type="http://schemas.openxmlformats.org/officeDocument/2006/relationships/hyperlink" Target="https://www.boamp.fr/pages/avis/?q=idweb:16-45436" TargetMode="External"/><Relationship Id="rId26" Type="http://schemas.openxmlformats.org/officeDocument/2006/relationships/hyperlink" Target="https://www.boamp.fr/pages/avis/?q=idweb:23-31948" TargetMode="External"/><Relationship Id="rId231" Type="http://schemas.openxmlformats.org/officeDocument/2006/relationships/hyperlink" Target="https://www.boamp.fr/pages/avis/?q=idweb:23-66104" TargetMode="External"/><Relationship Id="rId47" Type="http://schemas.openxmlformats.org/officeDocument/2006/relationships/hyperlink" Target="https://www.boamp.fr/pages/avis/?q=idweb:16-42170" TargetMode="External"/><Relationship Id="rId68" Type="http://schemas.openxmlformats.org/officeDocument/2006/relationships/hyperlink" Target="https://www.boamp.fr/pages/avis/?q=idweb:19-81470" TargetMode="External"/><Relationship Id="rId89" Type="http://schemas.openxmlformats.org/officeDocument/2006/relationships/hyperlink" Target="https://www.boamp.fr/pages/avis/?q=idweb:18-101437" TargetMode="External"/><Relationship Id="rId112" Type="http://schemas.openxmlformats.org/officeDocument/2006/relationships/hyperlink" Target="https://www.boamp.fr/pages/avis/?q=idweb:19-169855" TargetMode="External"/><Relationship Id="rId133" Type="http://schemas.openxmlformats.org/officeDocument/2006/relationships/hyperlink" Target="https://www.boamp.fr/pages/avis/?q=idweb:20-68352" TargetMode="External"/><Relationship Id="rId154" Type="http://schemas.openxmlformats.org/officeDocument/2006/relationships/hyperlink" Target="https://www.boamp.fr/pages/avis/?q=idweb:23-32316" TargetMode="External"/><Relationship Id="rId175" Type="http://schemas.openxmlformats.org/officeDocument/2006/relationships/hyperlink" Target="https://www.boamp.fr/pages/avis/?q=idweb:21-126360" TargetMode="External"/><Relationship Id="rId196" Type="http://schemas.openxmlformats.org/officeDocument/2006/relationships/hyperlink" Target="https://www.boamp.fr/pages/avis/?q=idweb:17-171316" TargetMode="External"/><Relationship Id="rId200" Type="http://schemas.openxmlformats.org/officeDocument/2006/relationships/hyperlink" Target="https://www.boamp.fr/pages/avis/?q=idweb:21-139293" TargetMode="External"/><Relationship Id="rId16" Type="http://schemas.openxmlformats.org/officeDocument/2006/relationships/hyperlink" Target="https://www.boamp.fr/pages/avis/?q=idweb:23-61217" TargetMode="External"/><Relationship Id="rId221" Type="http://schemas.openxmlformats.org/officeDocument/2006/relationships/hyperlink" Target="https://www.boamp.fr/pages/avis/?q=idweb:21-11209" TargetMode="External"/><Relationship Id="rId242" Type="http://schemas.openxmlformats.org/officeDocument/2006/relationships/hyperlink" Target="https://www.boamp.fr/pages/avis/?q=idweb:19-3707" TargetMode="External"/><Relationship Id="rId37" Type="http://schemas.openxmlformats.org/officeDocument/2006/relationships/hyperlink" Target="https://www.boamp.fr/pages/avis/?q=idweb:15-47591" TargetMode="External"/><Relationship Id="rId58" Type="http://schemas.openxmlformats.org/officeDocument/2006/relationships/hyperlink" Target="https://www.boamp.fr/pages/avis/?q=idweb:20-137453" TargetMode="External"/><Relationship Id="rId79" Type="http://schemas.openxmlformats.org/officeDocument/2006/relationships/hyperlink" Target="https://www.boamp.fr/pages/avis/?q=idweb:20-57925" TargetMode="External"/><Relationship Id="rId102" Type="http://schemas.openxmlformats.org/officeDocument/2006/relationships/hyperlink" Target="https://www.boamp.fr/pages/avis/?q=idweb:16-81005" TargetMode="External"/><Relationship Id="rId123" Type="http://schemas.openxmlformats.org/officeDocument/2006/relationships/hyperlink" Target="https://www.boamp.fr/pages/avis/?q=idweb:19-126819" TargetMode="External"/><Relationship Id="rId144" Type="http://schemas.openxmlformats.org/officeDocument/2006/relationships/hyperlink" Target="https://www.boamp.fr/pages/avis/?q=idweb:18-121819" TargetMode="External"/><Relationship Id="rId90" Type="http://schemas.openxmlformats.org/officeDocument/2006/relationships/hyperlink" Target="https://www.boamp.fr/pages/avis/?q=idweb:18-121819" TargetMode="External"/><Relationship Id="rId165" Type="http://schemas.openxmlformats.org/officeDocument/2006/relationships/hyperlink" Target="https://www.boamp.fr/pages/avis/?q=idweb:19-48376" TargetMode="External"/><Relationship Id="rId186" Type="http://schemas.openxmlformats.org/officeDocument/2006/relationships/hyperlink" Target="https://www.boamp.fr/pages/avis/?q=idweb:19-185581" TargetMode="External"/><Relationship Id="rId211" Type="http://schemas.openxmlformats.org/officeDocument/2006/relationships/hyperlink" Target="https://www.boamp.fr/pages/avis/?q=idweb:18-6884" TargetMode="External"/><Relationship Id="rId232" Type="http://schemas.openxmlformats.org/officeDocument/2006/relationships/hyperlink" Target="https://www.boamp.fr/pages/avis/?q=idweb:21-77546" TargetMode="External"/><Relationship Id="rId27" Type="http://schemas.openxmlformats.org/officeDocument/2006/relationships/hyperlink" Target="https://www.boamp.fr/pages/avis/?q=idweb:17-119142" TargetMode="External"/><Relationship Id="rId48" Type="http://schemas.openxmlformats.org/officeDocument/2006/relationships/hyperlink" Target="https://www.boamp.fr/pages/avis/?q=idweb:19-39750" TargetMode="External"/><Relationship Id="rId69" Type="http://schemas.openxmlformats.org/officeDocument/2006/relationships/hyperlink" Target="https://www.boamp.fr/pages/avis/?q=idweb:20-68352" TargetMode="External"/><Relationship Id="rId113" Type="http://schemas.openxmlformats.org/officeDocument/2006/relationships/hyperlink" Target="https://www.boamp.fr/pages/avis/?q=idweb:18-58840" TargetMode="External"/><Relationship Id="rId134" Type="http://schemas.openxmlformats.org/officeDocument/2006/relationships/hyperlink" Target="https://www.boamp.fr/pages/avis/?q=idweb:20-49128" TargetMode="External"/><Relationship Id="rId80" Type="http://schemas.openxmlformats.org/officeDocument/2006/relationships/hyperlink" Target="https://www.boamp.fr/pages/avis/?q=idweb:21-63730" TargetMode="External"/><Relationship Id="rId155" Type="http://schemas.openxmlformats.org/officeDocument/2006/relationships/hyperlink" Target="https://www.boamp.fr/pages/avis/?q=idweb:20-85580" TargetMode="External"/><Relationship Id="rId176" Type="http://schemas.openxmlformats.org/officeDocument/2006/relationships/hyperlink" Target="https://www.boamp.fr/pages/avis/?q=idweb:17-57345" TargetMode="External"/><Relationship Id="rId197" Type="http://schemas.openxmlformats.org/officeDocument/2006/relationships/hyperlink" Target="https://www.boamp.fr/pages/avis/?q=idweb:21-126684" TargetMode="External"/><Relationship Id="rId201" Type="http://schemas.openxmlformats.org/officeDocument/2006/relationships/hyperlink" Target="https://www.boamp.fr/pages/avis/?q=idweb:18-3854" TargetMode="External"/><Relationship Id="rId222" Type="http://schemas.openxmlformats.org/officeDocument/2006/relationships/hyperlink" Target="https://www.boamp.fr/pages/avis/?q=idweb:19-80203" TargetMode="External"/><Relationship Id="rId243" Type="http://schemas.openxmlformats.org/officeDocument/2006/relationships/hyperlink" Target="https://www.boamp.fr/pages/avis/?q=idweb:21-139293" TargetMode="External"/><Relationship Id="rId17" Type="http://schemas.openxmlformats.org/officeDocument/2006/relationships/hyperlink" Target="https://www.boamp.fr/pages/avis/?q=idweb:17-124586" TargetMode="External"/><Relationship Id="rId38" Type="http://schemas.openxmlformats.org/officeDocument/2006/relationships/hyperlink" Target="https://www.boamp.fr/pages/avis/?q=idweb:17-55172" TargetMode="External"/><Relationship Id="rId59" Type="http://schemas.openxmlformats.org/officeDocument/2006/relationships/hyperlink" Target="https://www.boamp.fr/pages/avis/?q=idweb:21-123669" TargetMode="External"/><Relationship Id="rId103" Type="http://schemas.openxmlformats.org/officeDocument/2006/relationships/hyperlink" Target="https://www.boamp.fr/pages/avis/?q=idweb:17-68883" TargetMode="External"/><Relationship Id="rId124" Type="http://schemas.openxmlformats.org/officeDocument/2006/relationships/hyperlink" Target="https://www.boamp.fr/pages/avis/?q=idweb:23-87983" TargetMode="External"/><Relationship Id="rId70" Type="http://schemas.openxmlformats.org/officeDocument/2006/relationships/hyperlink" Target="https://www.boamp.fr/pages/avis/?q=idweb:20-70265" TargetMode="External"/><Relationship Id="rId91" Type="http://schemas.openxmlformats.org/officeDocument/2006/relationships/hyperlink" Target="https://www.boamp.fr/pages/avis/?q=idweb:22-87982" TargetMode="External"/><Relationship Id="rId145" Type="http://schemas.openxmlformats.org/officeDocument/2006/relationships/hyperlink" Target="https://www.boamp.fr/pages/avis/?q=idweb:17-102708" TargetMode="External"/><Relationship Id="rId166" Type="http://schemas.openxmlformats.org/officeDocument/2006/relationships/hyperlink" Target="https://www.boamp.fr/pages/avis/?q=idweb:23-6460" TargetMode="External"/><Relationship Id="rId187" Type="http://schemas.openxmlformats.org/officeDocument/2006/relationships/hyperlink" Target="https://www.boamp.fr/pages/avis/?q=idweb:20-70680" TargetMode="External"/><Relationship Id="rId1" Type="http://schemas.openxmlformats.org/officeDocument/2006/relationships/hyperlink" Target="https://www.boamp.fr/pages/avis/?q=idweb:21-53955" TargetMode="External"/><Relationship Id="rId212" Type="http://schemas.openxmlformats.org/officeDocument/2006/relationships/hyperlink" Target="https://www.boamp.fr/pages/avis/?q=idweb:18-121819" TargetMode="External"/><Relationship Id="rId233" Type="http://schemas.openxmlformats.org/officeDocument/2006/relationships/hyperlink" Target="https://www.boamp.fr/pages/avis/?q=idweb:18-163164" TargetMode="External"/><Relationship Id="rId28" Type="http://schemas.openxmlformats.org/officeDocument/2006/relationships/hyperlink" Target="https://www.boamp.fr/pages/avis/?q=idweb:16-98835" TargetMode="External"/><Relationship Id="rId49" Type="http://schemas.openxmlformats.org/officeDocument/2006/relationships/hyperlink" Target="https://www.boamp.fr/pages/avis/?q=idweb:18-88858" TargetMode="External"/><Relationship Id="rId114" Type="http://schemas.openxmlformats.org/officeDocument/2006/relationships/hyperlink" Target="https://www.boamp.fr/pages/avis/?q=idweb:15-52664" TargetMode="External"/><Relationship Id="rId60" Type="http://schemas.openxmlformats.org/officeDocument/2006/relationships/hyperlink" Target="https://www.boamp.fr/pages/avis/?q=idweb:15-44999" TargetMode="External"/><Relationship Id="rId81" Type="http://schemas.openxmlformats.org/officeDocument/2006/relationships/hyperlink" Target="https://www.boamp.fr/pages/avis/?q=idweb:16-172095" TargetMode="External"/><Relationship Id="rId135" Type="http://schemas.openxmlformats.org/officeDocument/2006/relationships/hyperlink" Target="https://www.boamp.fr/pages/avis/?q=idweb:18-89409" TargetMode="External"/><Relationship Id="rId156" Type="http://schemas.openxmlformats.org/officeDocument/2006/relationships/hyperlink" Target="https://www.boamp.fr/pages/avis/?q=idweb:22-95015" TargetMode="External"/><Relationship Id="rId177" Type="http://schemas.openxmlformats.org/officeDocument/2006/relationships/hyperlink" Target="https://www.boamp.fr/pages/avis/?q=idweb:20-122198" TargetMode="External"/><Relationship Id="rId198" Type="http://schemas.openxmlformats.org/officeDocument/2006/relationships/hyperlink" Target="https://www.boamp.fr/pages/avis/?q=idweb:17-88463" TargetMode="External"/><Relationship Id="rId202" Type="http://schemas.openxmlformats.org/officeDocument/2006/relationships/hyperlink" Target="https://www.boamp.fr/pages/avis/?q=idweb:18-73364" TargetMode="External"/><Relationship Id="rId223" Type="http://schemas.openxmlformats.org/officeDocument/2006/relationships/hyperlink" Target="https://www.boamp.fr/pages/avis/?q=idweb:23-48831" TargetMode="External"/><Relationship Id="rId244" Type="http://schemas.openxmlformats.org/officeDocument/2006/relationships/hyperlink" Target="https://www.boamp.fr/pages/avis/?q=idweb:19-8820" TargetMode="External"/><Relationship Id="rId18" Type="http://schemas.openxmlformats.org/officeDocument/2006/relationships/hyperlink" Target="https://www.boamp.fr/pages/avis/?q=idweb:20-114106" TargetMode="External"/><Relationship Id="rId39" Type="http://schemas.openxmlformats.org/officeDocument/2006/relationships/hyperlink" Target="https://www.boamp.fr/pages/avis/?q=idweb:19-180395" TargetMode="External"/><Relationship Id="rId50" Type="http://schemas.openxmlformats.org/officeDocument/2006/relationships/hyperlink" Target="https://www.boamp.fr/pages/avis/?q=idweb:20-109382" TargetMode="External"/><Relationship Id="rId104" Type="http://schemas.openxmlformats.org/officeDocument/2006/relationships/hyperlink" Target="https://www.boamp.fr/pages/avis/?q=idweb:17-179112" TargetMode="External"/><Relationship Id="rId125" Type="http://schemas.openxmlformats.org/officeDocument/2006/relationships/hyperlink" Target="https://www.boamp.fr/pages/avis/?q=idweb:18-67939" TargetMode="External"/><Relationship Id="rId146" Type="http://schemas.openxmlformats.org/officeDocument/2006/relationships/hyperlink" Target="https://www.boamp.fr/pages/avis/?q=idweb:20-65753" TargetMode="External"/><Relationship Id="rId167" Type="http://schemas.openxmlformats.org/officeDocument/2006/relationships/hyperlink" Target="https://www.boamp.fr/pages/avis/?q=idweb:18-171623" TargetMode="External"/><Relationship Id="rId188" Type="http://schemas.openxmlformats.org/officeDocument/2006/relationships/hyperlink" Target="https://www.boamp.fr/pages/avis/?q=idweb:20-107792" TargetMode="External"/><Relationship Id="rId71" Type="http://schemas.openxmlformats.org/officeDocument/2006/relationships/hyperlink" Target="https://www.boamp.fr/pages/avis/?q=idweb:22-51860" TargetMode="External"/><Relationship Id="rId92" Type="http://schemas.openxmlformats.org/officeDocument/2006/relationships/hyperlink" Target="https://www.boamp.fr/pages/avis/?q=idweb:15-98976" TargetMode="External"/><Relationship Id="rId213" Type="http://schemas.openxmlformats.org/officeDocument/2006/relationships/hyperlink" Target="https://www.boamp.fr/pages/avis/?q=idweb:16-79797" TargetMode="External"/><Relationship Id="rId234" Type="http://schemas.openxmlformats.org/officeDocument/2006/relationships/hyperlink" Target="https://www.boamp.fr/pages/avis/?q=idweb:16-73319" TargetMode="External"/><Relationship Id="rId2" Type="http://schemas.openxmlformats.org/officeDocument/2006/relationships/hyperlink" Target="https://www.boamp.fr/pages/avis/?q=idweb:18-105237" TargetMode="External"/><Relationship Id="rId29" Type="http://schemas.openxmlformats.org/officeDocument/2006/relationships/hyperlink" Target="https://www.boamp.fr/pages/avis/?q=idweb:17-104307" TargetMode="External"/><Relationship Id="rId40" Type="http://schemas.openxmlformats.org/officeDocument/2006/relationships/hyperlink" Target="https://www.boamp.fr/pages/avis/?q=idweb:22-103042" TargetMode="External"/><Relationship Id="rId115" Type="http://schemas.openxmlformats.org/officeDocument/2006/relationships/hyperlink" Target="https://www.boamp.fr/pages/avis/?q=idweb:19-34512" TargetMode="External"/><Relationship Id="rId136" Type="http://schemas.openxmlformats.org/officeDocument/2006/relationships/hyperlink" Target="https://www.boamp.fr/pages/avis/?q=idweb:21-125536" TargetMode="External"/><Relationship Id="rId157" Type="http://schemas.openxmlformats.org/officeDocument/2006/relationships/hyperlink" Target="https://www.boamp.fr/pages/avis/?q=idweb:23-104062" TargetMode="External"/><Relationship Id="rId178" Type="http://schemas.openxmlformats.org/officeDocument/2006/relationships/hyperlink" Target="https://www.boamp.fr/pages/avis/?q=idweb:15-178791" TargetMode="External"/><Relationship Id="rId61" Type="http://schemas.openxmlformats.org/officeDocument/2006/relationships/hyperlink" Target="https://www.boamp.fr/pages/avis/?q=idweb:19-126819" TargetMode="External"/><Relationship Id="rId82" Type="http://schemas.openxmlformats.org/officeDocument/2006/relationships/hyperlink" Target="https://www.boamp.fr/pages/avis/?q=idweb:17-127198" TargetMode="External"/><Relationship Id="rId199" Type="http://schemas.openxmlformats.org/officeDocument/2006/relationships/hyperlink" Target="https://www.boamp.fr/pages/avis/?q=idweb:20-115241" TargetMode="External"/><Relationship Id="rId203" Type="http://schemas.openxmlformats.org/officeDocument/2006/relationships/hyperlink" Target="https://www.boamp.fr/pages/avis/?q=idweb:15-51571" TargetMode="External"/><Relationship Id="rId19" Type="http://schemas.openxmlformats.org/officeDocument/2006/relationships/hyperlink" Target="https://www.boamp.fr/pages/avis/?q=idweb:21-130956" TargetMode="External"/><Relationship Id="rId224" Type="http://schemas.openxmlformats.org/officeDocument/2006/relationships/hyperlink" Target="https://www.boamp.fr/pages/avis/?q=idweb:22-162609" TargetMode="External"/><Relationship Id="rId245" Type="http://schemas.openxmlformats.org/officeDocument/2006/relationships/hyperlink" Target="https://www.boamp.fr/pages/avis/?q=idweb:17-8714" TargetMode="External"/><Relationship Id="rId30" Type="http://schemas.openxmlformats.org/officeDocument/2006/relationships/hyperlink" Target="https://www.boamp.fr/pages/avis/?q=idweb:21-169350" TargetMode="External"/><Relationship Id="rId105" Type="http://schemas.openxmlformats.org/officeDocument/2006/relationships/hyperlink" Target="https://www.boamp.fr/pages/avis/?q=idweb:22-39891" TargetMode="External"/><Relationship Id="rId126" Type="http://schemas.openxmlformats.org/officeDocument/2006/relationships/hyperlink" Target="https://www.boamp.fr/pages/avis/?q=idweb:16-27767" TargetMode="External"/><Relationship Id="rId147" Type="http://schemas.openxmlformats.org/officeDocument/2006/relationships/hyperlink" Target="https://www.boamp.fr/pages/avis/?q=idweb:15-111481" TargetMode="External"/><Relationship Id="rId168" Type="http://schemas.openxmlformats.org/officeDocument/2006/relationships/hyperlink" Target="https://www.boamp.fr/pages/avis/?q=idweb:22-69458" TargetMode="External"/><Relationship Id="rId51" Type="http://schemas.openxmlformats.org/officeDocument/2006/relationships/hyperlink" Target="https://www.boamp.fr/pages/avis/?q=idweb:15-96106" TargetMode="External"/><Relationship Id="rId72" Type="http://schemas.openxmlformats.org/officeDocument/2006/relationships/hyperlink" Target="https://www.boamp.fr/pages/avis/?q=idweb:19-27651" TargetMode="External"/><Relationship Id="rId93" Type="http://schemas.openxmlformats.org/officeDocument/2006/relationships/hyperlink" Target="https://www.boamp.fr/pages/avis/?q=idweb:17-44758" TargetMode="External"/><Relationship Id="rId189" Type="http://schemas.openxmlformats.org/officeDocument/2006/relationships/hyperlink" Target="https://www.boamp.fr/pages/avis/?q=idweb:21-67958" TargetMode="External"/><Relationship Id="rId3" Type="http://schemas.openxmlformats.org/officeDocument/2006/relationships/hyperlink" Target="https://www.boamp.fr/pages/avis/?q=idweb:19-32405" TargetMode="External"/><Relationship Id="rId214" Type="http://schemas.openxmlformats.org/officeDocument/2006/relationships/hyperlink" Target="https://www.boamp.fr/pages/avis/?q=idweb:17-39998" TargetMode="External"/><Relationship Id="rId235" Type="http://schemas.openxmlformats.org/officeDocument/2006/relationships/hyperlink" Target="https://www.boamp.fr/pages/avis/?q=idweb:20-70268" TargetMode="External"/><Relationship Id="rId116" Type="http://schemas.openxmlformats.org/officeDocument/2006/relationships/hyperlink" Target="https://www.boamp.fr/pages/avis/?q=idweb:17-58113" TargetMode="External"/><Relationship Id="rId137" Type="http://schemas.openxmlformats.org/officeDocument/2006/relationships/hyperlink" Target="https://www.boamp.fr/pages/avis/?q=idweb:19-41115" TargetMode="External"/><Relationship Id="rId158" Type="http://schemas.openxmlformats.org/officeDocument/2006/relationships/hyperlink" Target="https://www.boamp.fr/pages/avis/?q=idweb:18-93359" TargetMode="External"/><Relationship Id="rId20" Type="http://schemas.openxmlformats.org/officeDocument/2006/relationships/hyperlink" Target="https://www.boamp.fr/pages/avis/?q=idweb:23-174149" TargetMode="External"/><Relationship Id="rId41" Type="http://schemas.openxmlformats.org/officeDocument/2006/relationships/hyperlink" Target="https://www.boamp.fr/pages/avis/?q=idweb:17-71849" TargetMode="External"/><Relationship Id="rId62" Type="http://schemas.openxmlformats.org/officeDocument/2006/relationships/hyperlink" Target="https://www.boamp.fr/pages/avis/?q=idweb:21-102565" TargetMode="External"/><Relationship Id="rId83" Type="http://schemas.openxmlformats.org/officeDocument/2006/relationships/hyperlink" Target="https://www.boamp.fr/pages/avis/?q=idweb:18-135728" TargetMode="External"/><Relationship Id="rId179" Type="http://schemas.openxmlformats.org/officeDocument/2006/relationships/hyperlink" Target="https://www.boamp.fr/pages/avis/?q=idweb:20-12070" TargetMode="External"/><Relationship Id="rId190" Type="http://schemas.openxmlformats.org/officeDocument/2006/relationships/hyperlink" Target="https://www.boamp.fr/pages/avis/?q=idweb:19-99589" TargetMode="External"/><Relationship Id="rId204" Type="http://schemas.openxmlformats.org/officeDocument/2006/relationships/hyperlink" Target="https://www.boamp.fr/pages/avis/?q=idweb:19-177220" TargetMode="External"/><Relationship Id="rId225" Type="http://schemas.openxmlformats.org/officeDocument/2006/relationships/hyperlink" Target="https://www.boamp.fr/pages/avis/?q=idweb:23-23753" TargetMode="External"/><Relationship Id="rId246" Type="http://schemas.openxmlformats.org/officeDocument/2006/relationships/hyperlink" Target="https://www.boamp.fr/pages/avis/?q=idweb:20-150503" TargetMode="External"/><Relationship Id="rId106" Type="http://schemas.openxmlformats.org/officeDocument/2006/relationships/hyperlink" Target="https://www.boamp.fr/pages/avis/?q=idweb:19-103125" TargetMode="External"/><Relationship Id="rId127" Type="http://schemas.openxmlformats.org/officeDocument/2006/relationships/hyperlink" Target="https://www.boamp.fr/pages/avis/?q=idweb:20-154115" TargetMode="External"/><Relationship Id="rId10" Type="http://schemas.openxmlformats.org/officeDocument/2006/relationships/hyperlink" Target="https://www.boamp.fr/pages/avis/?q=idweb:16-105530" TargetMode="External"/><Relationship Id="rId31" Type="http://schemas.openxmlformats.org/officeDocument/2006/relationships/hyperlink" Target="https://www.boamp.fr/pages/avis/?q=idweb:16-85662" TargetMode="External"/><Relationship Id="rId52" Type="http://schemas.openxmlformats.org/officeDocument/2006/relationships/hyperlink" Target="https://www.boamp.fr/pages/avis/?q=idweb:19-103125" TargetMode="External"/><Relationship Id="rId73" Type="http://schemas.openxmlformats.org/officeDocument/2006/relationships/hyperlink" Target="https://www.boamp.fr/pages/avis/?q=idweb:15-96786" TargetMode="External"/><Relationship Id="rId94" Type="http://schemas.openxmlformats.org/officeDocument/2006/relationships/hyperlink" Target="https://www.boamp.fr/pages/avis/?q=idweb:18-149889" TargetMode="External"/><Relationship Id="rId148" Type="http://schemas.openxmlformats.org/officeDocument/2006/relationships/hyperlink" Target="https://www.boamp.fr/pages/avis/?q=idweb:19-59985" TargetMode="External"/><Relationship Id="rId169" Type="http://schemas.openxmlformats.org/officeDocument/2006/relationships/hyperlink" Target="https://www.boamp.fr/pages/avis/?q=idweb:20-125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abSelected="1" zoomScale="90" zoomScaleNormal="90" workbookViewId="0">
      <pane xSplit="2" ySplit="1" topLeftCell="F26" activePane="bottomRight" state="frozen"/>
      <selection pane="topRight"/>
      <selection pane="bottomLeft"/>
      <selection pane="bottomRight" activeCell="A29" sqref="A29:XFD29"/>
    </sheetView>
  </sheetViews>
  <sheetFormatPr baseColWidth="10" defaultColWidth="8.88671875" defaultRowHeight="14.4" x14ac:dyDescent="0.3"/>
  <cols>
    <col min="1" max="1" width="7.33203125" bestFit="1" customWidth="1"/>
    <col min="2" max="2" width="5.5546875" bestFit="1" customWidth="1"/>
    <col min="3" max="3" width="33.5546875" bestFit="1" customWidth="1"/>
    <col min="4" max="4" width="32.6640625" bestFit="1" customWidth="1"/>
    <col min="5" max="6" width="46.33203125" bestFit="1" customWidth="1"/>
    <col min="7" max="7" width="9.77734375" bestFit="1" customWidth="1"/>
    <col min="8" max="8" width="11.33203125" bestFit="1" customWidth="1"/>
    <col min="9" max="9" width="9.44140625" bestFit="1" customWidth="1"/>
    <col min="10" max="10" width="13.77734375" bestFit="1" customWidth="1"/>
    <col min="11" max="11" width="13.109375" bestFit="1" customWidth="1"/>
    <col min="12" max="12" width="11.6640625" bestFit="1" customWidth="1"/>
    <col min="13" max="13" width="11.44140625" bestFit="1" customWidth="1"/>
    <col min="14" max="14" width="8.77734375" bestFit="1" customWidth="1"/>
    <col min="15" max="15" width="11.6640625" bestFit="1" customWidth="1"/>
    <col min="16" max="16" width="10.5546875" bestFit="1" customWidth="1"/>
    <col min="17" max="17" width="15.5546875" bestFit="1" customWidth="1"/>
    <col min="18" max="18" width="15.88671875" bestFit="1" customWidth="1"/>
    <col min="19" max="19" width="19.77734375" bestFit="1" customWidth="1"/>
    <col min="20" max="20" width="17.44140625" bestFit="1" customWidth="1"/>
    <col min="21" max="21" width="14.109375" bestFit="1" customWidth="1"/>
    <col min="22" max="22" width="16.21875" bestFit="1" customWidth="1"/>
    <col min="23" max="23" width="12.109375" bestFit="1" customWidth="1"/>
    <col min="24" max="24" width="13.44140625" bestFit="1" customWidth="1"/>
    <col min="25" max="25" width="15.88671875" bestFit="1" customWidth="1"/>
  </cols>
  <sheetData>
    <row r="1" spans="1:25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4" x14ac:dyDescent="0.3">
      <c r="A2" s="2" t="s">
        <v>25</v>
      </c>
      <c r="B2" s="2">
        <v>0</v>
      </c>
      <c r="C2" s="2" t="s">
        <v>26</v>
      </c>
      <c r="D2" s="2"/>
      <c r="E2" s="3" t="s">
        <v>27</v>
      </c>
      <c r="F2" s="3"/>
      <c r="G2" s="2">
        <v>72</v>
      </c>
      <c r="H2" s="2"/>
      <c r="I2" s="2" t="s">
        <v>28</v>
      </c>
      <c r="J2" s="2" t="s">
        <v>29</v>
      </c>
      <c r="K2" s="2"/>
      <c r="L2" s="2"/>
      <c r="M2" s="2"/>
      <c r="N2" s="2"/>
      <c r="O2" s="2"/>
      <c r="P2" s="2"/>
      <c r="Q2" s="4" t="s">
        <v>30</v>
      </c>
      <c r="R2" s="2"/>
      <c r="S2" s="2"/>
      <c r="T2" s="2"/>
      <c r="V2" s="5" t="str">
        <f t="shared" ref="V2:V33" si="0">IF(U2="credible_renewal","true_positive",IF(U2="not_credible_false_positive","false_positive",IF(U2="plausible_censored","true_negative_or_plausible_censored",IF(U2="missed_renewal_false_negative","false_negative",IF(OR(U2="doubtful_but_possible",U2="impossible_to_judge"),"not_applicable","")))))</f>
        <v/>
      </c>
      <c r="W2" s="6"/>
    </row>
    <row r="3" spans="1:25" ht="36" x14ac:dyDescent="0.3">
      <c r="A3" s="7" t="s">
        <v>31</v>
      </c>
      <c r="B3" s="7">
        <v>1</v>
      </c>
      <c r="C3" s="7" t="s">
        <v>32</v>
      </c>
      <c r="D3" s="7" t="s">
        <v>32</v>
      </c>
      <c r="E3" s="8" t="s">
        <v>33</v>
      </c>
      <c r="F3" s="8" t="s">
        <v>34</v>
      </c>
      <c r="G3" s="7">
        <v>35113440</v>
      </c>
      <c r="H3" s="7">
        <v>35113430</v>
      </c>
      <c r="I3" s="7" t="s">
        <v>35</v>
      </c>
      <c r="J3" s="7" t="s">
        <v>36</v>
      </c>
      <c r="K3" s="7" t="s">
        <v>37</v>
      </c>
      <c r="L3" s="7">
        <v>0.86990000000000001</v>
      </c>
      <c r="M3" s="7">
        <v>0.83979999999999999</v>
      </c>
      <c r="N3" s="7">
        <v>0.8</v>
      </c>
      <c r="O3" s="7">
        <v>0.91979999999999995</v>
      </c>
      <c r="P3" s="7">
        <v>0.45689999999999997</v>
      </c>
      <c r="Q3" s="9" t="s">
        <v>38</v>
      </c>
      <c r="R3" s="9" t="s">
        <v>39</v>
      </c>
      <c r="S3" s="7"/>
      <c r="T3" s="7"/>
      <c r="U3" t="s">
        <v>1996</v>
      </c>
      <c r="V3" s="5" t="str">
        <f t="shared" si="0"/>
        <v>true_positive</v>
      </c>
      <c r="W3" s="6"/>
    </row>
    <row r="4" spans="1:25" ht="36" x14ac:dyDescent="0.3">
      <c r="A4" s="7" t="s">
        <v>40</v>
      </c>
      <c r="B4" s="7">
        <v>1</v>
      </c>
      <c r="C4" s="7" t="s">
        <v>41</v>
      </c>
      <c r="D4" s="7" t="s">
        <v>41</v>
      </c>
      <c r="E4" s="8" t="s">
        <v>42</v>
      </c>
      <c r="F4" s="8" t="s">
        <v>43</v>
      </c>
      <c r="G4" s="7">
        <v>72261000</v>
      </c>
      <c r="H4" s="7">
        <v>72261000</v>
      </c>
      <c r="I4" s="7" t="s">
        <v>44</v>
      </c>
      <c r="J4" s="7" t="s">
        <v>45</v>
      </c>
      <c r="K4" s="7" t="s">
        <v>46</v>
      </c>
      <c r="L4" s="7">
        <v>0.74209999999999998</v>
      </c>
      <c r="M4" s="7">
        <v>0.85099999999999998</v>
      </c>
      <c r="N4" s="7">
        <v>1</v>
      </c>
      <c r="O4" s="7">
        <v>8.6999999999999994E-3</v>
      </c>
      <c r="P4" s="7">
        <v>0.19389999999999999</v>
      </c>
      <c r="Q4" s="9" t="s">
        <v>47</v>
      </c>
      <c r="R4" s="9" t="s">
        <v>48</v>
      </c>
      <c r="S4" s="7"/>
      <c r="T4" s="7"/>
      <c r="U4" t="s">
        <v>1996</v>
      </c>
      <c r="V4" s="5" t="str">
        <f t="shared" si="0"/>
        <v>true_positive</v>
      </c>
      <c r="W4" s="6"/>
    </row>
    <row r="5" spans="1:25" ht="24" x14ac:dyDescent="0.3">
      <c r="A5" s="2" t="s">
        <v>49</v>
      </c>
      <c r="B5" s="2">
        <v>0</v>
      </c>
      <c r="C5" s="2" t="s">
        <v>50</v>
      </c>
      <c r="D5" s="2"/>
      <c r="E5" s="3" t="s">
        <v>51</v>
      </c>
      <c r="F5" s="3"/>
      <c r="G5" s="2">
        <v>35</v>
      </c>
      <c r="H5" s="2"/>
      <c r="I5" s="2" t="s">
        <v>52</v>
      </c>
      <c r="J5" s="2" t="s">
        <v>53</v>
      </c>
      <c r="K5" s="2"/>
      <c r="L5" s="2"/>
      <c r="M5" s="2"/>
      <c r="N5" s="2"/>
      <c r="O5" s="2"/>
      <c r="P5" s="2"/>
      <c r="Q5" s="4" t="s">
        <v>54</v>
      </c>
      <c r="R5" s="2"/>
      <c r="S5" s="2"/>
      <c r="T5" s="2"/>
      <c r="V5" s="5" t="str">
        <f t="shared" si="0"/>
        <v/>
      </c>
      <c r="W5" s="6"/>
    </row>
    <row r="6" spans="1:25" ht="24" x14ac:dyDescent="0.3">
      <c r="A6" s="2" t="s">
        <v>55</v>
      </c>
      <c r="B6" s="2">
        <v>0</v>
      </c>
      <c r="C6" s="2" t="s">
        <v>56</v>
      </c>
      <c r="D6" s="2"/>
      <c r="E6" s="3" t="s">
        <v>57</v>
      </c>
      <c r="F6" s="3"/>
      <c r="G6" s="2">
        <v>48</v>
      </c>
      <c r="H6" s="2"/>
      <c r="I6" s="2" t="s">
        <v>58</v>
      </c>
      <c r="J6" s="2" t="s">
        <v>59</v>
      </c>
      <c r="K6" s="2"/>
      <c r="L6" s="2"/>
      <c r="M6" s="2"/>
      <c r="N6" s="2"/>
      <c r="O6" s="2"/>
      <c r="P6" s="2"/>
      <c r="Q6" s="4" t="s">
        <v>60</v>
      </c>
      <c r="R6" s="2"/>
      <c r="S6" s="2"/>
      <c r="T6" s="2"/>
      <c r="V6" s="5" t="str">
        <f t="shared" si="0"/>
        <v/>
      </c>
      <c r="W6" s="6"/>
    </row>
    <row r="7" spans="1:25" ht="24" x14ac:dyDescent="0.3">
      <c r="A7" s="7" t="s">
        <v>61</v>
      </c>
      <c r="B7" s="7">
        <v>1</v>
      </c>
      <c r="C7" s="7" t="s">
        <v>62</v>
      </c>
      <c r="D7" s="7" t="s">
        <v>63</v>
      </c>
      <c r="E7" s="8" t="s">
        <v>64</v>
      </c>
      <c r="F7" s="8" t="s">
        <v>65</v>
      </c>
      <c r="G7" s="7">
        <v>48000000</v>
      </c>
      <c r="H7" s="7">
        <v>48000000</v>
      </c>
      <c r="I7" s="7" t="s">
        <v>66</v>
      </c>
      <c r="J7" s="7" t="s">
        <v>67</v>
      </c>
      <c r="K7" s="7" t="s">
        <v>68</v>
      </c>
      <c r="L7" s="7">
        <v>0.53</v>
      </c>
      <c r="M7" s="7">
        <v>0.48110000000000003</v>
      </c>
      <c r="N7" s="7">
        <v>0.2</v>
      </c>
      <c r="O7" s="7">
        <v>0.68759999999999999</v>
      </c>
      <c r="P7" s="7">
        <v>2.7400000000000001E-2</v>
      </c>
      <c r="Q7" s="9" t="s">
        <v>69</v>
      </c>
      <c r="R7" s="9" t="s">
        <v>70</v>
      </c>
      <c r="S7" s="7"/>
      <c r="T7" s="7"/>
      <c r="U7" t="s">
        <v>1997</v>
      </c>
      <c r="V7" s="5" t="str">
        <f t="shared" si="0"/>
        <v>false_positive</v>
      </c>
      <c r="W7" s="6"/>
    </row>
    <row r="8" spans="1:25" x14ac:dyDescent="0.3">
      <c r="A8" s="2" t="s">
        <v>71</v>
      </c>
      <c r="B8" s="2">
        <v>0</v>
      </c>
      <c r="C8" s="2" t="s">
        <v>72</v>
      </c>
      <c r="D8" s="2"/>
      <c r="E8" s="3" t="s">
        <v>73</v>
      </c>
      <c r="F8" s="3"/>
      <c r="G8" s="2">
        <v>32</v>
      </c>
      <c r="H8" s="2"/>
      <c r="I8" s="2" t="s">
        <v>74</v>
      </c>
      <c r="J8" s="2" t="s">
        <v>75</v>
      </c>
      <c r="K8" s="2"/>
      <c r="L8" s="2"/>
      <c r="M8" s="2"/>
      <c r="N8" s="2"/>
      <c r="O8" s="2"/>
      <c r="P8" s="2"/>
      <c r="Q8" s="4" t="s">
        <v>76</v>
      </c>
      <c r="R8" s="2"/>
      <c r="S8" s="2" t="s">
        <v>77</v>
      </c>
      <c r="T8" s="2" t="s">
        <v>78</v>
      </c>
      <c r="V8" s="5" t="str">
        <f t="shared" si="0"/>
        <v/>
      </c>
      <c r="W8" s="6"/>
    </row>
    <row r="9" spans="1:25" ht="24" x14ac:dyDescent="0.3">
      <c r="A9" s="7" t="s">
        <v>79</v>
      </c>
      <c r="B9" s="7">
        <v>1</v>
      </c>
      <c r="C9" s="7" t="s">
        <v>80</v>
      </c>
      <c r="D9" s="7" t="s">
        <v>80</v>
      </c>
      <c r="E9" s="8" t="s">
        <v>81</v>
      </c>
      <c r="F9" s="8" t="s">
        <v>82</v>
      </c>
      <c r="G9" s="7">
        <v>72212214</v>
      </c>
      <c r="H9" s="7">
        <v>72322000</v>
      </c>
      <c r="I9" s="7" t="s">
        <v>83</v>
      </c>
      <c r="J9" s="7" t="s">
        <v>84</v>
      </c>
      <c r="K9" s="7" t="s">
        <v>85</v>
      </c>
      <c r="L9" s="7">
        <v>0.59209999999999996</v>
      </c>
      <c r="M9" s="7">
        <v>0.53610000000000002</v>
      </c>
      <c r="N9" s="7">
        <v>0.2</v>
      </c>
      <c r="O9" s="7">
        <v>0.8881</v>
      </c>
      <c r="P9" s="7">
        <v>0.10680000000000001</v>
      </c>
      <c r="Q9" s="9" t="s">
        <v>86</v>
      </c>
      <c r="R9" s="9" t="s">
        <v>87</v>
      </c>
      <c r="S9" s="7"/>
      <c r="T9" s="7"/>
      <c r="U9" t="s">
        <v>1996</v>
      </c>
      <c r="V9" s="5" t="str">
        <f t="shared" si="0"/>
        <v>true_positive</v>
      </c>
      <c r="W9" s="6"/>
    </row>
    <row r="10" spans="1:25" ht="36" x14ac:dyDescent="0.3">
      <c r="A10" s="2" t="s">
        <v>88</v>
      </c>
      <c r="B10" s="2">
        <v>0</v>
      </c>
      <c r="C10" s="2" t="s">
        <v>89</v>
      </c>
      <c r="D10" s="2"/>
      <c r="E10" s="3" t="s">
        <v>90</v>
      </c>
      <c r="F10" s="3"/>
      <c r="G10" s="2">
        <v>72</v>
      </c>
      <c r="H10" s="2"/>
      <c r="I10" s="2" t="s">
        <v>91</v>
      </c>
      <c r="J10" s="2" t="s">
        <v>92</v>
      </c>
      <c r="K10" s="2"/>
      <c r="L10" s="2"/>
      <c r="M10" s="2"/>
      <c r="N10" s="2"/>
      <c r="O10" s="2"/>
      <c r="P10" s="2"/>
      <c r="Q10" s="4" t="s">
        <v>93</v>
      </c>
      <c r="R10" s="2"/>
      <c r="S10" s="2"/>
      <c r="T10" s="2"/>
      <c r="V10" s="5" t="str">
        <f t="shared" si="0"/>
        <v/>
      </c>
      <c r="W10" s="6"/>
    </row>
    <row r="11" spans="1:25" ht="24" x14ac:dyDescent="0.3">
      <c r="A11" s="2" t="s">
        <v>94</v>
      </c>
      <c r="B11" s="2">
        <v>0</v>
      </c>
      <c r="C11" s="2" t="s">
        <v>95</v>
      </c>
      <c r="D11" s="2"/>
      <c r="E11" s="3" t="s">
        <v>96</v>
      </c>
      <c r="F11" s="3"/>
      <c r="G11" s="2">
        <v>45</v>
      </c>
      <c r="H11" s="2"/>
      <c r="I11" s="2" t="s">
        <v>97</v>
      </c>
      <c r="J11" s="2" t="s">
        <v>98</v>
      </c>
      <c r="K11" s="2"/>
      <c r="L11" s="2"/>
      <c r="M11" s="2"/>
      <c r="N11" s="2"/>
      <c r="O11" s="2"/>
      <c r="P11" s="2"/>
      <c r="Q11" s="4" t="s">
        <v>99</v>
      </c>
      <c r="R11" s="2"/>
      <c r="S11" s="2" t="s">
        <v>100</v>
      </c>
      <c r="T11" s="2" t="s">
        <v>101</v>
      </c>
      <c r="V11" s="5" t="str">
        <f t="shared" si="0"/>
        <v/>
      </c>
      <c r="W11" s="6"/>
    </row>
    <row r="12" spans="1:25" ht="36" x14ac:dyDescent="0.3">
      <c r="A12" s="7" t="s">
        <v>102</v>
      </c>
      <c r="B12" s="7">
        <v>1</v>
      </c>
      <c r="C12" s="7" t="s">
        <v>103</v>
      </c>
      <c r="D12" s="7" t="s">
        <v>103</v>
      </c>
      <c r="E12" s="8" t="s">
        <v>104</v>
      </c>
      <c r="F12" s="8" t="s">
        <v>105</v>
      </c>
      <c r="G12" s="7">
        <v>72000000</v>
      </c>
      <c r="H12" s="7">
        <v>72413000</v>
      </c>
      <c r="I12" s="7" t="s">
        <v>106</v>
      </c>
      <c r="J12" s="7" t="s">
        <v>107</v>
      </c>
      <c r="K12" s="7" t="s">
        <v>108</v>
      </c>
      <c r="L12" s="7">
        <v>0.58130000000000004</v>
      </c>
      <c r="M12" s="7">
        <v>0.59030000000000005</v>
      </c>
      <c r="N12" s="7">
        <v>0.2</v>
      </c>
      <c r="O12" s="7">
        <v>0.72589999999999999</v>
      </c>
      <c r="P12" s="7">
        <v>5.5100000000000003E-2</v>
      </c>
      <c r="Q12" s="9" t="s">
        <v>109</v>
      </c>
      <c r="R12" s="9" t="s">
        <v>110</v>
      </c>
      <c r="S12" s="7"/>
      <c r="T12" s="7"/>
      <c r="U12" t="s">
        <v>1998</v>
      </c>
      <c r="V12" s="5" t="str">
        <f t="shared" si="0"/>
        <v>not_applicable</v>
      </c>
      <c r="W12" s="6"/>
    </row>
    <row r="13" spans="1:25" x14ac:dyDescent="0.3">
      <c r="A13" s="7" t="s">
        <v>111</v>
      </c>
      <c r="B13" s="7">
        <v>1</v>
      </c>
      <c r="C13" s="7" t="s">
        <v>112</v>
      </c>
      <c r="D13" s="7" t="s">
        <v>112</v>
      </c>
      <c r="E13" s="8" t="s">
        <v>113</v>
      </c>
      <c r="F13" s="8" t="s">
        <v>113</v>
      </c>
      <c r="G13" s="7">
        <v>72267000</v>
      </c>
      <c r="H13" s="7">
        <v>72267000</v>
      </c>
      <c r="I13" s="7" t="s">
        <v>114</v>
      </c>
      <c r="J13" s="7" t="s">
        <v>115</v>
      </c>
      <c r="K13" s="7" t="s">
        <v>116</v>
      </c>
      <c r="L13" s="7">
        <v>0.95250000000000001</v>
      </c>
      <c r="M13" s="7">
        <v>1</v>
      </c>
      <c r="N13" s="7">
        <v>1</v>
      </c>
      <c r="O13" s="7">
        <v>0.76229999999999998</v>
      </c>
      <c r="P13" s="7">
        <v>0.51180000000000003</v>
      </c>
      <c r="Q13" s="9" t="s">
        <v>117</v>
      </c>
      <c r="R13" s="9" t="s">
        <v>118</v>
      </c>
      <c r="S13" s="7"/>
      <c r="T13" s="7"/>
      <c r="U13" t="s">
        <v>1996</v>
      </c>
      <c r="V13" s="5" t="str">
        <f t="shared" si="0"/>
        <v>true_positive</v>
      </c>
      <c r="W13" s="6"/>
    </row>
    <row r="14" spans="1:25" ht="36" x14ac:dyDescent="0.3">
      <c r="A14" s="7" t="s">
        <v>119</v>
      </c>
      <c r="B14" s="7">
        <v>1</v>
      </c>
      <c r="C14" s="7" t="s">
        <v>32</v>
      </c>
      <c r="D14" s="7" t="s">
        <v>32</v>
      </c>
      <c r="E14" s="8" t="s">
        <v>120</v>
      </c>
      <c r="F14" s="8" t="s">
        <v>121</v>
      </c>
      <c r="G14" s="7">
        <v>79800000</v>
      </c>
      <c r="H14" s="7">
        <v>72260000</v>
      </c>
      <c r="I14" s="7" t="s">
        <v>122</v>
      </c>
      <c r="J14" s="7" t="s">
        <v>123</v>
      </c>
      <c r="K14" s="7" t="s">
        <v>124</v>
      </c>
      <c r="L14" s="7">
        <v>0.50649999999999995</v>
      </c>
      <c r="M14" s="7">
        <v>0.40029999999999999</v>
      </c>
      <c r="N14" s="7">
        <v>0</v>
      </c>
      <c r="O14" s="7">
        <v>0.98199999999999998</v>
      </c>
      <c r="P14" s="7">
        <v>1.23E-2</v>
      </c>
      <c r="Q14" s="9" t="s">
        <v>125</v>
      </c>
      <c r="R14" s="9" t="s">
        <v>126</v>
      </c>
      <c r="S14" s="7"/>
      <c r="T14" s="7"/>
      <c r="U14" t="s">
        <v>1997</v>
      </c>
      <c r="V14" s="5" t="str">
        <f t="shared" si="0"/>
        <v>false_positive</v>
      </c>
      <c r="W14" s="6"/>
    </row>
    <row r="15" spans="1:25" ht="36" x14ac:dyDescent="0.3">
      <c r="A15" s="7" t="s">
        <v>127</v>
      </c>
      <c r="B15" s="7">
        <v>1</v>
      </c>
      <c r="C15" s="7" t="s">
        <v>128</v>
      </c>
      <c r="D15" s="7" t="s">
        <v>128</v>
      </c>
      <c r="E15" s="8" t="s">
        <v>129</v>
      </c>
      <c r="F15" s="8" t="s">
        <v>130</v>
      </c>
      <c r="G15" s="7">
        <v>72320000</v>
      </c>
      <c r="H15" s="7">
        <v>72320000</v>
      </c>
      <c r="I15" s="7" t="s">
        <v>131</v>
      </c>
      <c r="J15" s="7" t="s">
        <v>132</v>
      </c>
      <c r="K15" s="7" t="s">
        <v>133</v>
      </c>
      <c r="L15" s="7">
        <v>0.87460000000000004</v>
      </c>
      <c r="M15" s="7">
        <v>0.78620000000000001</v>
      </c>
      <c r="N15" s="7">
        <v>1</v>
      </c>
      <c r="O15" s="7">
        <v>0.80049999999999999</v>
      </c>
      <c r="P15" s="7">
        <v>0.29239999999999999</v>
      </c>
      <c r="Q15" s="9" t="s">
        <v>134</v>
      </c>
      <c r="R15" s="9" t="s">
        <v>135</v>
      </c>
      <c r="S15" s="7"/>
      <c r="T15" s="7"/>
      <c r="U15" t="s">
        <v>1996</v>
      </c>
      <c r="V15" s="5" t="str">
        <f t="shared" si="0"/>
        <v>true_positive</v>
      </c>
      <c r="W15" s="6"/>
    </row>
    <row r="16" spans="1:25" ht="24" x14ac:dyDescent="0.3">
      <c r="A16" s="7" t="s">
        <v>136</v>
      </c>
      <c r="B16" s="7">
        <v>1</v>
      </c>
      <c r="C16" s="7" t="s">
        <v>41</v>
      </c>
      <c r="D16" s="7" t="s">
        <v>41</v>
      </c>
      <c r="E16" s="8" t="s">
        <v>137</v>
      </c>
      <c r="F16" s="8" t="s">
        <v>138</v>
      </c>
      <c r="G16" s="7">
        <v>72267000</v>
      </c>
      <c r="H16" s="7">
        <v>72267000</v>
      </c>
      <c r="I16" s="7" t="s">
        <v>139</v>
      </c>
      <c r="J16" s="7" t="s">
        <v>140</v>
      </c>
      <c r="K16" s="7" t="s">
        <v>141</v>
      </c>
      <c r="L16" s="7">
        <v>0.85060000000000002</v>
      </c>
      <c r="M16" s="7">
        <v>0.73719999999999997</v>
      </c>
      <c r="N16" s="7">
        <v>1</v>
      </c>
      <c r="O16" s="7">
        <v>0.77859999999999996</v>
      </c>
      <c r="P16" s="7">
        <v>0.12920000000000001</v>
      </c>
      <c r="Q16" s="9" t="s">
        <v>142</v>
      </c>
      <c r="R16" s="9" t="s">
        <v>143</v>
      </c>
      <c r="S16" s="7"/>
      <c r="T16" s="7"/>
      <c r="U16" t="s">
        <v>1996</v>
      </c>
      <c r="V16" s="5" t="str">
        <f t="shared" si="0"/>
        <v>true_positive</v>
      </c>
      <c r="W16" s="6"/>
    </row>
    <row r="17" spans="1:23" ht="36" x14ac:dyDescent="0.3">
      <c r="A17" s="2" t="s">
        <v>144</v>
      </c>
      <c r="B17" s="2">
        <v>0</v>
      </c>
      <c r="C17" s="2" t="s">
        <v>145</v>
      </c>
      <c r="D17" s="2"/>
      <c r="E17" s="3" t="s">
        <v>146</v>
      </c>
      <c r="F17" s="3"/>
      <c r="G17" s="2">
        <v>72</v>
      </c>
      <c r="H17" s="2"/>
      <c r="I17" s="2" t="s">
        <v>147</v>
      </c>
      <c r="J17" s="2" t="s">
        <v>148</v>
      </c>
      <c r="K17" s="2"/>
      <c r="L17" s="2"/>
      <c r="M17" s="2"/>
      <c r="N17" s="2"/>
      <c r="O17" s="2"/>
      <c r="P17" s="2"/>
      <c r="Q17" s="4" t="s">
        <v>149</v>
      </c>
      <c r="R17" s="2"/>
      <c r="S17" s="2"/>
      <c r="T17" s="2"/>
      <c r="V17" s="5" t="str">
        <f t="shared" si="0"/>
        <v/>
      </c>
      <c r="W17" s="6"/>
    </row>
    <row r="18" spans="1:23" ht="24" x14ac:dyDescent="0.3">
      <c r="A18" s="2" t="s">
        <v>150</v>
      </c>
      <c r="B18" s="2">
        <v>0</v>
      </c>
      <c r="C18" s="2" t="s">
        <v>151</v>
      </c>
      <c r="D18" s="2"/>
      <c r="E18" s="3" t="s">
        <v>152</v>
      </c>
      <c r="F18" s="3"/>
      <c r="G18" s="2">
        <v>32</v>
      </c>
      <c r="H18" s="2"/>
      <c r="I18" s="2" t="s">
        <v>153</v>
      </c>
      <c r="J18" s="2" t="s">
        <v>154</v>
      </c>
      <c r="K18" s="2"/>
      <c r="L18" s="2"/>
      <c r="M18" s="2"/>
      <c r="N18" s="2"/>
      <c r="O18" s="2"/>
      <c r="P18" s="2"/>
      <c r="Q18" s="4" t="s">
        <v>155</v>
      </c>
      <c r="R18" s="2"/>
      <c r="S18" s="2"/>
      <c r="T18" s="2"/>
      <c r="V18" s="5" t="str">
        <f t="shared" si="0"/>
        <v/>
      </c>
      <c r="W18" s="6"/>
    </row>
    <row r="19" spans="1:23" ht="36" x14ac:dyDescent="0.3">
      <c r="A19" s="2" t="s">
        <v>156</v>
      </c>
      <c r="B19" s="2">
        <v>0</v>
      </c>
      <c r="C19" s="2" t="s">
        <v>157</v>
      </c>
      <c r="D19" s="2"/>
      <c r="E19" s="3" t="s">
        <v>158</v>
      </c>
      <c r="F19" s="3"/>
      <c r="G19" s="2">
        <v>72</v>
      </c>
      <c r="H19" s="2"/>
      <c r="I19" s="2" t="s">
        <v>159</v>
      </c>
      <c r="J19" s="2" t="s">
        <v>160</v>
      </c>
      <c r="K19" s="2"/>
      <c r="L19" s="2"/>
      <c r="M19" s="2"/>
      <c r="N19" s="2"/>
      <c r="O19" s="2"/>
      <c r="P19" s="2"/>
      <c r="Q19" s="4" t="s">
        <v>161</v>
      </c>
      <c r="R19" s="2"/>
      <c r="S19" s="2"/>
      <c r="T19" s="2"/>
      <c r="V19" s="5" t="str">
        <f t="shared" si="0"/>
        <v/>
      </c>
      <c r="W19" s="6"/>
    </row>
    <row r="20" spans="1:23" ht="24" x14ac:dyDescent="0.3">
      <c r="A20" s="2" t="s">
        <v>162</v>
      </c>
      <c r="B20" s="2">
        <v>0</v>
      </c>
      <c r="C20" s="2" t="s">
        <v>163</v>
      </c>
      <c r="D20" s="2"/>
      <c r="E20" s="3" t="s">
        <v>164</v>
      </c>
      <c r="F20" s="3"/>
      <c r="G20" s="2">
        <v>72</v>
      </c>
      <c r="H20" s="2"/>
      <c r="I20" s="2" t="s">
        <v>165</v>
      </c>
      <c r="J20" s="2" t="s">
        <v>166</v>
      </c>
      <c r="K20" s="2"/>
      <c r="L20" s="2"/>
      <c r="M20" s="2"/>
      <c r="N20" s="2"/>
      <c r="O20" s="2"/>
      <c r="P20" s="2"/>
      <c r="Q20" s="4" t="s">
        <v>167</v>
      </c>
      <c r="R20" s="2"/>
      <c r="S20" s="2"/>
      <c r="T20" s="2"/>
      <c r="V20" s="5" t="str">
        <f t="shared" si="0"/>
        <v/>
      </c>
      <c r="W20" s="6"/>
    </row>
    <row r="21" spans="1:23" ht="24" x14ac:dyDescent="0.3">
      <c r="A21" s="7" t="s">
        <v>168</v>
      </c>
      <c r="B21" s="7">
        <v>1</v>
      </c>
      <c r="C21" s="7" t="s">
        <v>169</v>
      </c>
      <c r="D21" s="7" t="s">
        <v>170</v>
      </c>
      <c r="E21" s="8" t="s">
        <v>171</v>
      </c>
      <c r="F21" s="8" t="s">
        <v>172</v>
      </c>
      <c r="G21" s="7">
        <v>39100000</v>
      </c>
      <c r="H21" s="7">
        <v>39150000</v>
      </c>
      <c r="I21" s="7" t="s">
        <v>173</v>
      </c>
      <c r="J21" s="7" t="s">
        <v>174</v>
      </c>
      <c r="K21" s="7" t="s">
        <v>175</v>
      </c>
      <c r="L21" s="7">
        <v>0.6472</v>
      </c>
      <c r="M21" s="7">
        <v>0.69269999999999998</v>
      </c>
      <c r="N21" s="7">
        <v>0.4</v>
      </c>
      <c r="O21" s="7">
        <v>0.60060000000000002</v>
      </c>
      <c r="P21" s="7">
        <v>0.30130000000000001</v>
      </c>
      <c r="Q21" s="9" t="s">
        <v>176</v>
      </c>
      <c r="R21" s="9" t="s">
        <v>177</v>
      </c>
      <c r="S21" s="7"/>
      <c r="T21" s="7"/>
      <c r="U21" t="s">
        <v>1996</v>
      </c>
      <c r="V21" s="5" t="str">
        <f t="shared" si="0"/>
        <v>true_positive</v>
      </c>
      <c r="W21" s="6"/>
    </row>
    <row r="22" spans="1:23" ht="24" x14ac:dyDescent="0.3">
      <c r="A22" s="7" t="s">
        <v>178</v>
      </c>
      <c r="B22" s="7">
        <v>1</v>
      </c>
      <c r="C22" s="7" t="s">
        <v>32</v>
      </c>
      <c r="D22" s="7" t="s">
        <v>32</v>
      </c>
      <c r="E22" s="8" t="s">
        <v>179</v>
      </c>
      <c r="F22" s="8" t="s">
        <v>180</v>
      </c>
      <c r="G22" s="7">
        <v>72320000</v>
      </c>
      <c r="H22" s="7">
        <v>72000000</v>
      </c>
      <c r="I22" s="7" t="s">
        <v>181</v>
      </c>
      <c r="J22" s="7" t="s">
        <v>182</v>
      </c>
      <c r="K22" s="7" t="s">
        <v>183</v>
      </c>
      <c r="L22" s="7">
        <v>0.57440000000000002</v>
      </c>
      <c r="M22" s="7">
        <v>0.59519999999999995</v>
      </c>
      <c r="N22" s="7">
        <v>0.2</v>
      </c>
      <c r="O22" s="7">
        <v>0.68140000000000001</v>
      </c>
      <c r="P22" s="7">
        <v>5.8999999999999999E-3</v>
      </c>
      <c r="Q22" s="9" t="s">
        <v>184</v>
      </c>
      <c r="R22" s="9" t="s">
        <v>185</v>
      </c>
      <c r="S22" s="7"/>
      <c r="T22" s="7"/>
      <c r="U22" t="s">
        <v>1997</v>
      </c>
      <c r="V22" s="5" t="str">
        <f t="shared" si="0"/>
        <v>false_positive</v>
      </c>
      <c r="W22" s="6"/>
    </row>
    <row r="23" spans="1:23" ht="36" x14ac:dyDescent="0.3">
      <c r="A23" s="7" t="s">
        <v>186</v>
      </c>
      <c r="B23" s="7">
        <v>1</v>
      </c>
      <c r="C23" s="7" t="s">
        <v>32</v>
      </c>
      <c r="D23" s="7" t="s">
        <v>32</v>
      </c>
      <c r="E23" s="8" t="s">
        <v>34</v>
      </c>
      <c r="F23" s="8" t="s">
        <v>187</v>
      </c>
      <c r="G23" s="7">
        <v>35113430</v>
      </c>
      <c r="H23" s="7">
        <v>72000000</v>
      </c>
      <c r="I23" s="7" t="s">
        <v>37</v>
      </c>
      <c r="J23" s="7" t="s">
        <v>188</v>
      </c>
      <c r="K23" s="7" t="s">
        <v>189</v>
      </c>
      <c r="L23" s="7">
        <v>0.49640000000000001</v>
      </c>
      <c r="M23" s="7">
        <v>0.38679999999999998</v>
      </c>
      <c r="N23" s="7">
        <v>0</v>
      </c>
      <c r="O23" s="7">
        <v>0.95820000000000005</v>
      </c>
      <c r="P23" s="7">
        <v>7.9000000000000008E-3</v>
      </c>
      <c r="Q23" s="9" t="s">
        <v>39</v>
      </c>
      <c r="R23" s="9" t="s">
        <v>190</v>
      </c>
      <c r="S23" s="7"/>
      <c r="T23" s="7"/>
      <c r="U23" t="s">
        <v>1997</v>
      </c>
      <c r="V23" s="5" t="str">
        <f t="shared" si="0"/>
        <v>false_positive</v>
      </c>
      <c r="W23" s="6"/>
    </row>
    <row r="24" spans="1:23" ht="24" x14ac:dyDescent="0.3">
      <c r="A24" s="7" t="s">
        <v>191</v>
      </c>
      <c r="B24" s="7">
        <v>1</v>
      </c>
      <c r="C24" s="7" t="s">
        <v>192</v>
      </c>
      <c r="D24" s="7" t="s">
        <v>192</v>
      </c>
      <c r="E24" s="8" t="s">
        <v>193</v>
      </c>
      <c r="F24" s="8" t="s">
        <v>194</v>
      </c>
      <c r="G24" s="7">
        <v>48900000</v>
      </c>
      <c r="H24" s="7">
        <v>72212224</v>
      </c>
      <c r="I24" s="7" t="s">
        <v>195</v>
      </c>
      <c r="J24" s="7" t="s">
        <v>196</v>
      </c>
      <c r="K24" s="7" t="s">
        <v>197</v>
      </c>
      <c r="L24" s="7">
        <v>0.4592</v>
      </c>
      <c r="M24" s="7">
        <v>0.28839999999999999</v>
      </c>
      <c r="N24" s="7">
        <v>0</v>
      </c>
      <c r="O24" s="7">
        <v>0.96909999999999996</v>
      </c>
      <c r="P24" s="7">
        <v>6.4000000000000003E-3</v>
      </c>
      <c r="Q24" s="9" t="s">
        <v>198</v>
      </c>
      <c r="R24" s="9" t="s">
        <v>199</v>
      </c>
      <c r="S24" s="7"/>
      <c r="T24" s="7"/>
      <c r="U24" t="s">
        <v>1997</v>
      </c>
      <c r="V24" s="5" t="str">
        <f t="shared" si="0"/>
        <v>false_positive</v>
      </c>
      <c r="W24" s="6"/>
    </row>
    <row r="25" spans="1:23" ht="24" x14ac:dyDescent="0.3">
      <c r="A25" s="7" t="s">
        <v>200</v>
      </c>
      <c r="B25" s="7">
        <v>1</v>
      </c>
      <c r="C25" s="7" t="s">
        <v>201</v>
      </c>
      <c r="D25" s="7" t="s">
        <v>201</v>
      </c>
      <c r="E25" s="8" t="s">
        <v>202</v>
      </c>
      <c r="F25" s="8" t="s">
        <v>203</v>
      </c>
      <c r="G25" s="7">
        <v>32412100</v>
      </c>
      <c r="H25" s="7">
        <v>50700000</v>
      </c>
      <c r="I25" s="7" t="s">
        <v>204</v>
      </c>
      <c r="J25" s="7" t="s">
        <v>205</v>
      </c>
      <c r="K25" s="7" t="s">
        <v>206</v>
      </c>
      <c r="L25" s="7">
        <v>0.3211</v>
      </c>
      <c r="M25" s="7">
        <v>0.39290000000000003</v>
      </c>
      <c r="N25" s="7">
        <v>0</v>
      </c>
      <c r="O25" s="7">
        <v>6.9599999999999995E-2</v>
      </c>
      <c r="P25" s="7">
        <v>1.12E-2</v>
      </c>
      <c r="Q25" s="9" t="s">
        <v>207</v>
      </c>
      <c r="R25" s="9" t="s">
        <v>208</v>
      </c>
      <c r="S25" s="7"/>
      <c r="T25" s="7"/>
      <c r="U25" t="s">
        <v>1997</v>
      </c>
      <c r="V25" s="5" t="str">
        <f t="shared" si="0"/>
        <v>false_positive</v>
      </c>
      <c r="W25" s="6"/>
    </row>
    <row r="26" spans="1:23" ht="24" x14ac:dyDescent="0.3">
      <c r="A26" s="7" t="s">
        <v>209</v>
      </c>
      <c r="B26" s="7">
        <v>1</v>
      </c>
      <c r="C26" s="7" t="s">
        <v>210</v>
      </c>
      <c r="D26" s="7" t="s">
        <v>210</v>
      </c>
      <c r="E26" s="8" t="s">
        <v>211</v>
      </c>
      <c r="F26" s="8" t="s">
        <v>212</v>
      </c>
      <c r="G26" s="7">
        <v>48000000</v>
      </c>
      <c r="H26" s="7">
        <v>48730000</v>
      </c>
      <c r="I26" s="7" t="s">
        <v>213</v>
      </c>
      <c r="J26" s="7" t="s">
        <v>214</v>
      </c>
      <c r="K26" s="7" t="s">
        <v>215</v>
      </c>
      <c r="L26" s="7">
        <v>0.498</v>
      </c>
      <c r="M26" s="7">
        <v>0.38790000000000002</v>
      </c>
      <c r="N26" s="7">
        <v>0.2</v>
      </c>
      <c r="O26" s="7">
        <v>0.71409999999999996</v>
      </c>
      <c r="P26" s="7"/>
      <c r="Q26" s="9" t="s">
        <v>216</v>
      </c>
      <c r="R26" s="9" t="s">
        <v>217</v>
      </c>
      <c r="S26" s="7"/>
      <c r="T26" s="7"/>
      <c r="U26" t="s">
        <v>1997</v>
      </c>
      <c r="V26" s="5" t="str">
        <f t="shared" si="0"/>
        <v>false_positive</v>
      </c>
      <c r="W26" s="6"/>
    </row>
    <row r="27" spans="1:23" ht="36" x14ac:dyDescent="0.3">
      <c r="A27" s="7" t="s">
        <v>218</v>
      </c>
      <c r="B27" s="7">
        <v>1</v>
      </c>
      <c r="C27" s="7" t="s">
        <v>32</v>
      </c>
      <c r="D27" s="7" t="s">
        <v>32</v>
      </c>
      <c r="E27" s="8" t="s">
        <v>219</v>
      </c>
      <c r="F27" s="8" t="s">
        <v>220</v>
      </c>
      <c r="G27" s="7">
        <v>72212900</v>
      </c>
      <c r="H27" s="7">
        <v>72212900</v>
      </c>
      <c r="I27" s="7" t="s">
        <v>183</v>
      </c>
      <c r="J27" s="7" t="s">
        <v>221</v>
      </c>
      <c r="K27" s="7" t="s">
        <v>222</v>
      </c>
      <c r="L27" s="7">
        <v>0.71040000000000003</v>
      </c>
      <c r="M27" s="7">
        <v>0.31480000000000002</v>
      </c>
      <c r="N27" s="7">
        <v>1</v>
      </c>
      <c r="O27" s="7">
        <v>0.92259999999999998</v>
      </c>
      <c r="P27" s="7">
        <v>3.2599999999999997E-2</v>
      </c>
      <c r="Q27" s="9" t="s">
        <v>223</v>
      </c>
      <c r="R27" s="9" t="s">
        <v>224</v>
      </c>
      <c r="S27" s="7"/>
      <c r="T27" s="7"/>
      <c r="U27" t="s">
        <v>1997</v>
      </c>
      <c r="V27" s="5" t="str">
        <f t="shared" si="0"/>
        <v>false_positive</v>
      </c>
      <c r="W27" s="6"/>
    </row>
    <row r="28" spans="1:23" ht="24" x14ac:dyDescent="0.3">
      <c r="A28" s="7" t="s">
        <v>225</v>
      </c>
      <c r="B28" s="7">
        <v>1</v>
      </c>
      <c r="C28" s="7" t="s">
        <v>128</v>
      </c>
      <c r="D28" s="7" t="s">
        <v>128</v>
      </c>
      <c r="E28" s="8" t="s">
        <v>226</v>
      </c>
      <c r="F28" s="8" t="s">
        <v>227</v>
      </c>
      <c r="G28" s="7">
        <v>72810000</v>
      </c>
      <c r="H28" s="7">
        <v>72150000</v>
      </c>
      <c r="I28" s="7" t="s">
        <v>228</v>
      </c>
      <c r="J28" s="7" t="s">
        <v>229</v>
      </c>
      <c r="K28" s="7" t="s">
        <v>230</v>
      </c>
      <c r="L28" s="7">
        <v>0.68899999999999995</v>
      </c>
      <c r="M28" s="7">
        <v>0.84150000000000003</v>
      </c>
      <c r="N28" s="7">
        <v>0.2</v>
      </c>
      <c r="O28" s="7">
        <v>0.76219999999999999</v>
      </c>
      <c r="P28" s="7">
        <v>0.10780000000000001</v>
      </c>
      <c r="Q28" s="9" t="s">
        <v>231</v>
      </c>
      <c r="R28" s="9" t="s">
        <v>232</v>
      </c>
      <c r="S28" s="7"/>
      <c r="T28" s="7"/>
      <c r="U28" t="s">
        <v>1996</v>
      </c>
      <c r="V28" s="5" t="str">
        <f t="shared" si="0"/>
        <v>true_positive</v>
      </c>
      <c r="W28" s="6"/>
    </row>
    <row r="29" spans="1:23" ht="24" x14ac:dyDescent="0.3">
      <c r="A29" s="7" t="s">
        <v>233</v>
      </c>
      <c r="B29" s="7">
        <v>1</v>
      </c>
      <c r="C29" s="7" t="s">
        <v>234</v>
      </c>
      <c r="D29" s="7" t="s">
        <v>235</v>
      </c>
      <c r="E29" s="8" t="s">
        <v>236</v>
      </c>
      <c r="F29" s="8" t="s">
        <v>237</v>
      </c>
      <c r="G29" s="7">
        <v>45421000</v>
      </c>
      <c r="H29" s="7">
        <v>72315000</v>
      </c>
      <c r="I29" s="7" t="s">
        <v>238</v>
      </c>
      <c r="J29" s="7" t="s">
        <v>239</v>
      </c>
      <c r="K29" s="7" t="s">
        <v>240</v>
      </c>
      <c r="L29" s="7">
        <v>0.52559999999999996</v>
      </c>
      <c r="M29" s="7">
        <v>0.46329999999999999</v>
      </c>
      <c r="N29" s="7">
        <v>0</v>
      </c>
      <c r="O29" s="7">
        <v>0.95109999999999995</v>
      </c>
      <c r="P29" s="7"/>
      <c r="Q29" s="9" t="s">
        <v>241</v>
      </c>
      <c r="R29" s="9" t="s">
        <v>242</v>
      </c>
      <c r="S29" s="7"/>
      <c r="T29" s="7"/>
      <c r="V29" s="5" t="str">
        <f t="shared" si="0"/>
        <v/>
      </c>
      <c r="W29" s="6"/>
    </row>
    <row r="30" spans="1:23" ht="36" x14ac:dyDescent="0.3">
      <c r="A30" s="7" t="s">
        <v>243</v>
      </c>
      <c r="B30" s="7">
        <v>1</v>
      </c>
      <c r="C30" s="7" t="s">
        <v>244</v>
      </c>
      <c r="D30" s="7" t="s">
        <v>244</v>
      </c>
      <c r="E30" s="8" t="s">
        <v>245</v>
      </c>
      <c r="F30" s="8" t="s">
        <v>246</v>
      </c>
      <c r="G30" s="7">
        <v>48443000</v>
      </c>
      <c r="H30" s="7">
        <v>32352200</v>
      </c>
      <c r="I30" s="7" t="s">
        <v>247</v>
      </c>
      <c r="J30" s="7" t="s">
        <v>248</v>
      </c>
      <c r="K30" s="7" t="s">
        <v>249</v>
      </c>
      <c r="L30" s="7">
        <v>0.31290000000000001</v>
      </c>
      <c r="M30" s="7">
        <v>0.27289999999999998</v>
      </c>
      <c r="N30" s="7">
        <v>0</v>
      </c>
      <c r="O30" s="7">
        <v>0.26869999999999999</v>
      </c>
      <c r="P30" s="7"/>
      <c r="Q30" s="9" t="s">
        <v>250</v>
      </c>
      <c r="R30" s="9" t="s">
        <v>251</v>
      </c>
      <c r="S30" s="7"/>
      <c r="T30" s="7"/>
      <c r="V30" s="5" t="str">
        <f t="shared" si="0"/>
        <v/>
      </c>
      <c r="W30" s="6"/>
    </row>
    <row r="31" spans="1:23" ht="24" x14ac:dyDescent="0.3">
      <c r="A31" s="7" t="s">
        <v>252</v>
      </c>
      <c r="B31" s="7">
        <v>1</v>
      </c>
      <c r="C31" s="7" t="s">
        <v>169</v>
      </c>
      <c r="D31" s="7" t="s">
        <v>170</v>
      </c>
      <c r="E31" s="8" t="s">
        <v>253</v>
      </c>
      <c r="F31" s="8" t="s">
        <v>254</v>
      </c>
      <c r="G31" s="7">
        <v>48900000</v>
      </c>
      <c r="H31" s="7">
        <v>30230000</v>
      </c>
      <c r="I31" s="7" t="s">
        <v>255</v>
      </c>
      <c r="J31" s="7" t="s">
        <v>256</v>
      </c>
      <c r="K31" s="7" t="s">
        <v>257</v>
      </c>
      <c r="L31" s="7">
        <v>0.49690000000000001</v>
      </c>
      <c r="M31" s="7">
        <v>0.40610000000000002</v>
      </c>
      <c r="N31" s="7">
        <v>0</v>
      </c>
      <c r="O31" s="7">
        <v>0.92210000000000003</v>
      </c>
      <c r="P31" s="7">
        <v>4.1000000000000002E-2</v>
      </c>
      <c r="Q31" s="9" t="s">
        <v>258</v>
      </c>
      <c r="R31" s="9" t="s">
        <v>259</v>
      </c>
      <c r="S31" s="7"/>
      <c r="T31" s="7"/>
      <c r="V31" s="5" t="str">
        <f t="shared" si="0"/>
        <v/>
      </c>
      <c r="W31" s="6"/>
    </row>
    <row r="32" spans="1:23" ht="24" x14ac:dyDescent="0.3">
      <c r="A32" s="7" t="s">
        <v>260</v>
      </c>
      <c r="B32" s="7">
        <v>1</v>
      </c>
      <c r="C32" s="7" t="s">
        <v>261</v>
      </c>
      <c r="D32" s="7" t="s">
        <v>261</v>
      </c>
      <c r="E32" s="8" t="s">
        <v>262</v>
      </c>
      <c r="F32" s="8" t="s">
        <v>263</v>
      </c>
      <c r="G32" s="7">
        <v>72224000</v>
      </c>
      <c r="H32" s="7">
        <v>72600000</v>
      </c>
      <c r="I32" s="7" t="s">
        <v>264</v>
      </c>
      <c r="J32" s="7" t="s">
        <v>265</v>
      </c>
      <c r="K32" s="7" t="s">
        <v>266</v>
      </c>
      <c r="L32" s="7">
        <v>0.62339999999999995</v>
      </c>
      <c r="M32" s="7">
        <v>0.57199999999999995</v>
      </c>
      <c r="N32" s="7">
        <v>0.2</v>
      </c>
      <c r="O32" s="7">
        <v>0.97299999999999998</v>
      </c>
      <c r="P32" s="7">
        <v>4.2599999999999999E-2</v>
      </c>
      <c r="Q32" s="9" t="s">
        <v>267</v>
      </c>
      <c r="R32" s="9" t="s">
        <v>268</v>
      </c>
      <c r="S32" s="7"/>
      <c r="T32" s="7"/>
      <c r="V32" s="5" t="str">
        <f t="shared" si="0"/>
        <v/>
      </c>
      <c r="W32" s="6"/>
    </row>
    <row r="33" spans="1:23" x14ac:dyDescent="0.3">
      <c r="A33" s="7" t="s">
        <v>269</v>
      </c>
      <c r="B33" s="7">
        <v>1</v>
      </c>
      <c r="C33" s="7" t="s">
        <v>80</v>
      </c>
      <c r="D33" s="7" t="s">
        <v>80</v>
      </c>
      <c r="E33" s="8" t="s">
        <v>270</v>
      </c>
      <c r="F33" s="8" t="s">
        <v>271</v>
      </c>
      <c r="G33" s="7">
        <v>39300000</v>
      </c>
      <c r="H33" s="7">
        <v>39300000</v>
      </c>
      <c r="I33" s="7" t="s">
        <v>272</v>
      </c>
      <c r="J33" s="7" t="s">
        <v>273</v>
      </c>
      <c r="K33" s="7" t="s">
        <v>274</v>
      </c>
      <c r="L33" s="7">
        <v>0.88749999999999996</v>
      </c>
      <c r="M33" s="7">
        <v>0.84650000000000003</v>
      </c>
      <c r="N33" s="7">
        <v>1</v>
      </c>
      <c r="O33" s="7">
        <v>0.74460000000000004</v>
      </c>
      <c r="P33" s="7">
        <v>0.44500000000000001</v>
      </c>
      <c r="Q33" s="9" t="s">
        <v>275</v>
      </c>
      <c r="R33" s="9" t="s">
        <v>276</v>
      </c>
      <c r="S33" s="7"/>
      <c r="T33" s="7"/>
      <c r="V33" s="5" t="str">
        <f t="shared" si="0"/>
        <v/>
      </c>
      <c r="W33" s="6"/>
    </row>
    <row r="34" spans="1:23" ht="36" x14ac:dyDescent="0.3">
      <c r="A34" s="2" t="s">
        <v>277</v>
      </c>
      <c r="B34" s="2">
        <v>0</v>
      </c>
      <c r="C34" s="2" t="s">
        <v>278</v>
      </c>
      <c r="D34" s="2"/>
      <c r="E34" s="3" t="s">
        <v>279</v>
      </c>
      <c r="F34" s="3"/>
      <c r="G34" s="2">
        <v>32</v>
      </c>
      <c r="H34" s="2"/>
      <c r="I34" s="2" t="s">
        <v>280</v>
      </c>
      <c r="J34" s="2" t="s">
        <v>281</v>
      </c>
      <c r="K34" s="2"/>
      <c r="L34" s="2"/>
      <c r="M34" s="2"/>
      <c r="N34" s="2"/>
      <c r="O34" s="2"/>
      <c r="P34" s="2"/>
      <c r="Q34" s="4" t="s">
        <v>282</v>
      </c>
      <c r="R34" s="2"/>
      <c r="S34" s="2"/>
      <c r="T34" s="2"/>
      <c r="V34" s="5" t="str">
        <f t="shared" ref="V34:V65" si="1">IF(U34="credible_renewal","true_positive",IF(U34="not_credible_false_positive","false_positive",IF(U34="plausible_censored","true_negative_or_plausible_censored",IF(U34="missed_renewal_false_negative","false_negative",IF(OR(U34="doubtful_but_possible",U34="impossible_to_judge"),"not_applicable","")))))</f>
        <v/>
      </c>
      <c r="W34" s="6"/>
    </row>
    <row r="35" spans="1:23" ht="24" x14ac:dyDescent="0.3">
      <c r="A35" s="7" t="s">
        <v>283</v>
      </c>
      <c r="B35" s="7">
        <v>1</v>
      </c>
      <c r="C35" s="7" t="s">
        <v>284</v>
      </c>
      <c r="D35" s="7" t="s">
        <v>284</v>
      </c>
      <c r="E35" s="8" t="s">
        <v>285</v>
      </c>
      <c r="F35" s="8" t="s">
        <v>285</v>
      </c>
      <c r="G35" s="7">
        <v>32400000</v>
      </c>
      <c r="H35" s="7">
        <v>32400000</v>
      </c>
      <c r="I35" s="7" t="s">
        <v>286</v>
      </c>
      <c r="J35" s="7" t="s">
        <v>287</v>
      </c>
      <c r="K35" s="7" t="s">
        <v>288</v>
      </c>
      <c r="L35" s="7">
        <v>0.9325</v>
      </c>
      <c r="M35" s="7">
        <v>1</v>
      </c>
      <c r="N35" s="7">
        <v>1</v>
      </c>
      <c r="O35" s="7">
        <v>0.66249999999999998</v>
      </c>
      <c r="P35" s="7">
        <v>0.47039999999999998</v>
      </c>
      <c r="Q35" s="9" t="s">
        <v>289</v>
      </c>
      <c r="R35" s="9" t="s">
        <v>290</v>
      </c>
      <c r="S35" s="7"/>
      <c r="T35" s="7"/>
      <c r="V35" s="5" t="str">
        <f t="shared" si="1"/>
        <v/>
      </c>
      <c r="W35" s="6"/>
    </row>
    <row r="36" spans="1:23" ht="24" x14ac:dyDescent="0.3">
      <c r="A36" s="7" t="s">
        <v>291</v>
      </c>
      <c r="B36" s="7">
        <v>1</v>
      </c>
      <c r="C36" s="7" t="s">
        <v>292</v>
      </c>
      <c r="D36" s="7" t="s">
        <v>292</v>
      </c>
      <c r="E36" s="8" t="s">
        <v>293</v>
      </c>
      <c r="F36" s="8" t="s">
        <v>294</v>
      </c>
      <c r="G36" s="7"/>
      <c r="H36" s="7"/>
      <c r="I36" s="7" t="s">
        <v>295</v>
      </c>
      <c r="J36" s="7" t="s">
        <v>296</v>
      </c>
      <c r="K36" s="7" t="s">
        <v>297</v>
      </c>
      <c r="L36" s="7">
        <v>0.58340000000000003</v>
      </c>
      <c r="M36" s="7">
        <v>0.47649999999999998</v>
      </c>
      <c r="N36" s="7"/>
      <c r="O36" s="7">
        <v>0.48470000000000002</v>
      </c>
      <c r="P36" s="7"/>
      <c r="Q36" s="9" t="s">
        <v>298</v>
      </c>
      <c r="R36" s="9" t="s">
        <v>299</v>
      </c>
      <c r="S36" s="7"/>
      <c r="T36" s="7"/>
      <c r="V36" s="5" t="str">
        <f t="shared" si="1"/>
        <v/>
      </c>
      <c r="W36" s="6"/>
    </row>
    <row r="37" spans="1:23" ht="24" x14ac:dyDescent="0.3">
      <c r="A37" s="7" t="s">
        <v>300</v>
      </c>
      <c r="B37" s="7">
        <v>1</v>
      </c>
      <c r="C37" s="7" t="s">
        <v>301</v>
      </c>
      <c r="D37" s="7" t="s">
        <v>301</v>
      </c>
      <c r="E37" s="8" t="s">
        <v>302</v>
      </c>
      <c r="F37" s="8" t="s">
        <v>303</v>
      </c>
      <c r="G37" s="7">
        <v>39294100</v>
      </c>
      <c r="H37" s="7"/>
      <c r="I37" s="7" t="s">
        <v>304</v>
      </c>
      <c r="J37" s="7" t="s">
        <v>305</v>
      </c>
      <c r="K37" s="7" t="s">
        <v>306</v>
      </c>
      <c r="L37" s="7">
        <v>0.53790000000000004</v>
      </c>
      <c r="M37" s="7">
        <v>0.33600000000000002</v>
      </c>
      <c r="N37" s="7"/>
      <c r="O37" s="7">
        <v>0.59519999999999995</v>
      </c>
      <c r="P37" s="7"/>
      <c r="Q37" s="9" t="s">
        <v>307</v>
      </c>
      <c r="R37" s="9" t="s">
        <v>308</v>
      </c>
      <c r="S37" s="7"/>
      <c r="T37" s="7"/>
      <c r="V37" s="5" t="str">
        <f t="shared" si="1"/>
        <v/>
      </c>
      <c r="W37" s="6"/>
    </row>
    <row r="38" spans="1:23" ht="36" x14ac:dyDescent="0.3">
      <c r="A38" s="7" t="s">
        <v>309</v>
      </c>
      <c r="B38" s="7">
        <v>1</v>
      </c>
      <c r="C38" s="7" t="s">
        <v>284</v>
      </c>
      <c r="D38" s="7" t="s">
        <v>284</v>
      </c>
      <c r="E38" s="8" t="s">
        <v>310</v>
      </c>
      <c r="F38" s="8" t="s">
        <v>311</v>
      </c>
      <c r="G38" s="7">
        <v>35120000</v>
      </c>
      <c r="H38" s="7">
        <v>48800000</v>
      </c>
      <c r="I38" s="7" t="s">
        <v>312</v>
      </c>
      <c r="J38" s="7" t="s">
        <v>313</v>
      </c>
      <c r="K38" s="7" t="s">
        <v>314</v>
      </c>
      <c r="L38" s="7">
        <v>0.46589999999999998</v>
      </c>
      <c r="M38" s="7">
        <v>0.47589999999999999</v>
      </c>
      <c r="N38" s="7">
        <v>0</v>
      </c>
      <c r="O38" s="7">
        <v>0.62790000000000001</v>
      </c>
      <c r="P38" s="7"/>
      <c r="Q38" s="9" t="s">
        <v>315</v>
      </c>
      <c r="R38" s="9" t="s">
        <v>316</v>
      </c>
      <c r="S38" s="7"/>
      <c r="T38" s="7"/>
      <c r="V38" s="5" t="str">
        <f t="shared" si="1"/>
        <v/>
      </c>
      <c r="W38" s="6"/>
    </row>
    <row r="39" spans="1:23" ht="24" x14ac:dyDescent="0.3">
      <c r="A39" s="7" t="s">
        <v>317</v>
      </c>
      <c r="B39" s="7">
        <v>1</v>
      </c>
      <c r="C39" s="7" t="s">
        <v>128</v>
      </c>
      <c r="D39" s="7" t="s">
        <v>128</v>
      </c>
      <c r="E39" s="8" t="s">
        <v>318</v>
      </c>
      <c r="F39" s="8" t="s">
        <v>319</v>
      </c>
      <c r="G39" s="7">
        <v>45316210</v>
      </c>
      <c r="H39" s="7">
        <v>48000000</v>
      </c>
      <c r="I39" s="7" t="s">
        <v>320</v>
      </c>
      <c r="J39" s="7" t="s">
        <v>321</v>
      </c>
      <c r="K39" s="7" t="s">
        <v>322</v>
      </c>
      <c r="L39" s="7">
        <v>0.53249999999999997</v>
      </c>
      <c r="M39" s="7">
        <v>0.49159999999999998</v>
      </c>
      <c r="N39" s="7">
        <v>0</v>
      </c>
      <c r="O39" s="7">
        <v>0.92920000000000003</v>
      </c>
      <c r="P39" s="7">
        <v>2.3E-3</v>
      </c>
      <c r="Q39" s="9" t="s">
        <v>323</v>
      </c>
      <c r="R39" s="9" t="s">
        <v>324</v>
      </c>
      <c r="S39" s="7"/>
      <c r="T39" s="7"/>
      <c r="V39" s="5" t="str">
        <f t="shared" si="1"/>
        <v/>
      </c>
      <c r="W39" s="6"/>
    </row>
    <row r="40" spans="1:23" ht="24" x14ac:dyDescent="0.3">
      <c r="A40" s="7" t="s">
        <v>325</v>
      </c>
      <c r="B40" s="7">
        <v>1</v>
      </c>
      <c r="C40" s="7" t="s">
        <v>201</v>
      </c>
      <c r="D40" s="7" t="s">
        <v>201</v>
      </c>
      <c r="E40" s="8" t="s">
        <v>326</v>
      </c>
      <c r="F40" s="8" t="s">
        <v>327</v>
      </c>
      <c r="G40" s="7">
        <v>35811200</v>
      </c>
      <c r="H40" s="7">
        <v>35321100</v>
      </c>
      <c r="I40" s="7" t="s">
        <v>328</v>
      </c>
      <c r="J40" s="7" t="s">
        <v>329</v>
      </c>
      <c r="K40" s="7" t="s">
        <v>330</v>
      </c>
      <c r="L40" s="7">
        <v>0.75319999999999998</v>
      </c>
      <c r="M40" s="7">
        <v>0.9052</v>
      </c>
      <c r="N40" s="7">
        <v>0.2</v>
      </c>
      <c r="O40" s="7">
        <v>0.95540000000000003</v>
      </c>
      <c r="P40" s="7">
        <v>0.30220000000000002</v>
      </c>
      <c r="Q40" s="9" t="s">
        <v>331</v>
      </c>
      <c r="R40" s="9" t="s">
        <v>332</v>
      </c>
      <c r="S40" s="7"/>
      <c r="T40" s="7"/>
      <c r="V40" s="5" t="str">
        <f t="shared" si="1"/>
        <v/>
      </c>
      <c r="W40" s="6"/>
    </row>
    <row r="41" spans="1:23" ht="24" x14ac:dyDescent="0.3">
      <c r="A41" s="7" t="s">
        <v>333</v>
      </c>
      <c r="B41" s="7">
        <v>1</v>
      </c>
      <c r="C41" s="7" t="s">
        <v>334</v>
      </c>
      <c r="D41" s="7" t="s">
        <v>334</v>
      </c>
      <c r="E41" s="8" t="s">
        <v>335</v>
      </c>
      <c r="F41" s="8" t="s">
        <v>336</v>
      </c>
      <c r="G41" s="7">
        <v>32323500</v>
      </c>
      <c r="H41" s="7">
        <v>72611000</v>
      </c>
      <c r="I41" s="7" t="s">
        <v>337</v>
      </c>
      <c r="J41" s="7" t="s">
        <v>338</v>
      </c>
      <c r="K41" s="7" t="s">
        <v>339</v>
      </c>
      <c r="L41" s="7">
        <v>0.48010000000000003</v>
      </c>
      <c r="M41" s="7">
        <v>0.33169999999999999</v>
      </c>
      <c r="N41" s="7">
        <v>0</v>
      </c>
      <c r="O41" s="7">
        <v>0.98709999999999998</v>
      </c>
      <c r="P41" s="7">
        <v>4.1300000000000003E-2</v>
      </c>
      <c r="Q41" s="9" t="s">
        <v>340</v>
      </c>
      <c r="R41" s="9" t="s">
        <v>341</v>
      </c>
      <c r="S41" s="7"/>
      <c r="T41" s="7"/>
      <c r="V41" s="5" t="str">
        <f t="shared" si="1"/>
        <v/>
      </c>
      <c r="W41" s="6"/>
    </row>
    <row r="42" spans="1:23" ht="24" x14ac:dyDescent="0.3">
      <c r="A42" s="7" t="s">
        <v>342</v>
      </c>
      <c r="B42" s="7">
        <v>1</v>
      </c>
      <c r="C42" s="7" t="s">
        <v>343</v>
      </c>
      <c r="D42" s="7" t="s">
        <v>343</v>
      </c>
      <c r="E42" s="8" t="s">
        <v>344</v>
      </c>
      <c r="F42" s="8" t="s">
        <v>345</v>
      </c>
      <c r="G42" s="7">
        <v>35261000</v>
      </c>
      <c r="H42" s="7">
        <v>72413000</v>
      </c>
      <c r="I42" s="7" t="s">
        <v>116</v>
      </c>
      <c r="J42" s="7" t="s">
        <v>346</v>
      </c>
      <c r="K42" s="7" t="s">
        <v>347</v>
      </c>
      <c r="L42" s="7">
        <v>0.4047</v>
      </c>
      <c r="M42" s="7">
        <v>0.58399999999999996</v>
      </c>
      <c r="N42" s="7">
        <v>0</v>
      </c>
      <c r="O42" s="7">
        <v>0.1056</v>
      </c>
      <c r="P42" s="7">
        <v>4.65E-2</v>
      </c>
      <c r="Q42" s="9" t="s">
        <v>348</v>
      </c>
      <c r="R42" s="9" t="s">
        <v>349</v>
      </c>
      <c r="S42" s="7"/>
      <c r="T42" s="7"/>
      <c r="V42" s="5" t="str">
        <f t="shared" si="1"/>
        <v/>
      </c>
      <c r="W42" s="6"/>
    </row>
    <row r="43" spans="1:23" ht="24" x14ac:dyDescent="0.3">
      <c r="A43" s="2" t="s">
        <v>350</v>
      </c>
      <c r="B43" s="2">
        <v>0</v>
      </c>
      <c r="C43" s="2" t="s">
        <v>351</v>
      </c>
      <c r="D43" s="2"/>
      <c r="E43" s="3" t="s">
        <v>352</v>
      </c>
      <c r="F43" s="3"/>
      <c r="G43" s="2">
        <v>48</v>
      </c>
      <c r="H43" s="2"/>
      <c r="I43" s="2" t="s">
        <v>353</v>
      </c>
      <c r="J43" s="2" t="s">
        <v>354</v>
      </c>
      <c r="K43" s="2"/>
      <c r="L43" s="2"/>
      <c r="M43" s="2"/>
      <c r="N43" s="2"/>
      <c r="O43" s="2"/>
      <c r="P43" s="2"/>
      <c r="Q43" s="4" t="s">
        <v>355</v>
      </c>
      <c r="R43" s="2"/>
      <c r="S43" s="2"/>
      <c r="T43" s="2"/>
      <c r="V43" s="5" t="str">
        <f t="shared" si="1"/>
        <v/>
      </c>
      <c r="W43" s="6"/>
    </row>
    <row r="44" spans="1:23" ht="24" x14ac:dyDescent="0.3">
      <c r="A44" s="2" t="s">
        <v>356</v>
      </c>
      <c r="B44" s="2">
        <v>0</v>
      </c>
      <c r="C44" s="2" t="s">
        <v>357</v>
      </c>
      <c r="D44" s="2"/>
      <c r="E44" s="3" t="s">
        <v>358</v>
      </c>
      <c r="F44" s="3"/>
      <c r="G44" s="2">
        <v>72</v>
      </c>
      <c r="H44" s="2"/>
      <c r="I44" s="2" t="s">
        <v>264</v>
      </c>
      <c r="J44" s="2" t="s">
        <v>265</v>
      </c>
      <c r="K44" s="2"/>
      <c r="L44" s="2"/>
      <c r="M44" s="2"/>
      <c r="N44" s="2"/>
      <c r="O44" s="2"/>
      <c r="P44" s="2"/>
      <c r="Q44" s="4" t="s">
        <v>359</v>
      </c>
      <c r="R44" s="2"/>
      <c r="S44" s="2"/>
      <c r="T44" s="2"/>
      <c r="V44" s="5" t="str">
        <f t="shared" si="1"/>
        <v/>
      </c>
      <c r="W44" s="6"/>
    </row>
    <row r="45" spans="1:23" ht="24" x14ac:dyDescent="0.3">
      <c r="A45" s="7" t="s">
        <v>360</v>
      </c>
      <c r="B45" s="7">
        <v>1</v>
      </c>
      <c r="C45" s="7" t="s">
        <v>361</v>
      </c>
      <c r="D45" s="7" t="s">
        <v>361</v>
      </c>
      <c r="E45" s="8" t="s">
        <v>362</v>
      </c>
      <c r="F45" s="8" t="s">
        <v>363</v>
      </c>
      <c r="G45" s="7">
        <v>72268000</v>
      </c>
      <c r="H45" s="7">
        <v>72268000</v>
      </c>
      <c r="I45" s="7" t="s">
        <v>364</v>
      </c>
      <c r="J45" s="7" t="s">
        <v>365</v>
      </c>
      <c r="K45" s="7" t="s">
        <v>366</v>
      </c>
      <c r="L45" s="7">
        <v>0.97799999999999998</v>
      </c>
      <c r="M45" s="7">
        <v>0.98629999999999995</v>
      </c>
      <c r="N45" s="7">
        <v>1</v>
      </c>
      <c r="O45" s="7">
        <v>0.91749999999999998</v>
      </c>
      <c r="P45" s="7">
        <v>0.48630000000000001</v>
      </c>
      <c r="Q45" s="9" t="s">
        <v>367</v>
      </c>
      <c r="R45" s="9" t="s">
        <v>368</v>
      </c>
      <c r="S45" s="7"/>
      <c r="T45" s="7"/>
      <c r="V45" s="5" t="str">
        <f t="shared" si="1"/>
        <v/>
      </c>
      <c r="W45" s="6"/>
    </row>
    <row r="46" spans="1:23" ht="24" x14ac:dyDescent="0.3">
      <c r="A46" s="7" t="s">
        <v>369</v>
      </c>
      <c r="B46" s="7">
        <v>1</v>
      </c>
      <c r="C46" s="7" t="s">
        <v>370</v>
      </c>
      <c r="D46" s="7" t="s">
        <v>370</v>
      </c>
      <c r="E46" s="8" t="s">
        <v>371</v>
      </c>
      <c r="F46" s="8" t="s">
        <v>372</v>
      </c>
      <c r="G46" s="7">
        <v>72610000</v>
      </c>
      <c r="H46" s="7">
        <v>72610000</v>
      </c>
      <c r="I46" s="7" t="s">
        <v>373</v>
      </c>
      <c r="J46" s="7" t="s">
        <v>374</v>
      </c>
      <c r="K46" s="7" t="s">
        <v>375</v>
      </c>
      <c r="L46" s="7">
        <v>0.74129999999999996</v>
      </c>
      <c r="M46" s="7">
        <v>0.74519999999999997</v>
      </c>
      <c r="N46" s="7">
        <v>1</v>
      </c>
      <c r="O46" s="7">
        <v>0.21579999999999999</v>
      </c>
      <c r="P46" s="7">
        <v>0.13980000000000001</v>
      </c>
      <c r="Q46" s="9" t="s">
        <v>376</v>
      </c>
      <c r="R46" s="9" t="s">
        <v>377</v>
      </c>
      <c r="S46" s="7"/>
      <c r="T46" s="7"/>
      <c r="V46" s="5" t="str">
        <f t="shared" si="1"/>
        <v/>
      </c>
      <c r="W46" s="6"/>
    </row>
    <row r="47" spans="1:23" ht="24" x14ac:dyDescent="0.3">
      <c r="A47" s="2" t="s">
        <v>378</v>
      </c>
      <c r="B47" s="2">
        <v>0</v>
      </c>
      <c r="C47" s="2" t="s">
        <v>379</v>
      </c>
      <c r="D47" s="2"/>
      <c r="E47" s="3" t="s">
        <v>380</v>
      </c>
      <c r="F47" s="3"/>
      <c r="G47" s="2">
        <v>32</v>
      </c>
      <c r="H47" s="2"/>
      <c r="I47" s="2" t="s">
        <v>381</v>
      </c>
      <c r="J47" s="2" t="s">
        <v>382</v>
      </c>
      <c r="K47" s="2"/>
      <c r="L47" s="2"/>
      <c r="M47" s="2"/>
      <c r="N47" s="2"/>
      <c r="O47" s="2"/>
      <c r="P47" s="2"/>
      <c r="Q47" s="4" t="s">
        <v>383</v>
      </c>
      <c r="R47" s="2"/>
      <c r="S47" s="2"/>
      <c r="T47" s="2"/>
      <c r="V47" s="5" t="str">
        <f t="shared" si="1"/>
        <v/>
      </c>
      <c r="W47" s="6"/>
    </row>
    <row r="48" spans="1:23" ht="24" x14ac:dyDescent="0.3">
      <c r="A48" s="7" t="s">
        <v>384</v>
      </c>
      <c r="B48" s="7">
        <v>1</v>
      </c>
      <c r="C48" s="7" t="s">
        <v>385</v>
      </c>
      <c r="D48" s="7" t="s">
        <v>385</v>
      </c>
      <c r="E48" s="8" t="s">
        <v>386</v>
      </c>
      <c r="F48" s="8" t="s">
        <v>387</v>
      </c>
      <c r="G48" s="7">
        <v>32522000</v>
      </c>
      <c r="H48" s="7">
        <v>37320000</v>
      </c>
      <c r="I48" s="7" t="s">
        <v>388</v>
      </c>
      <c r="J48" s="7" t="s">
        <v>389</v>
      </c>
      <c r="K48" s="7" t="s">
        <v>390</v>
      </c>
      <c r="L48" s="7">
        <v>0.2447</v>
      </c>
      <c r="M48" s="7">
        <v>0.21929999999999999</v>
      </c>
      <c r="N48" s="7">
        <v>0</v>
      </c>
      <c r="O48" s="7">
        <v>3.4799999999999998E-2</v>
      </c>
      <c r="P48" s="7"/>
      <c r="Q48" s="9" t="s">
        <v>391</v>
      </c>
      <c r="R48" s="9" t="s">
        <v>392</v>
      </c>
      <c r="S48" s="7"/>
      <c r="T48" s="7"/>
      <c r="V48" s="5" t="str">
        <f t="shared" si="1"/>
        <v/>
      </c>
      <c r="W48" s="6"/>
    </row>
    <row r="49" spans="1:23" ht="24" x14ac:dyDescent="0.3">
      <c r="A49" s="7" t="s">
        <v>393</v>
      </c>
      <c r="B49" s="7">
        <v>1</v>
      </c>
      <c r="C49" s="7" t="s">
        <v>394</v>
      </c>
      <c r="D49" s="7" t="s">
        <v>394</v>
      </c>
      <c r="E49" s="8" t="s">
        <v>395</v>
      </c>
      <c r="F49" s="8" t="s">
        <v>396</v>
      </c>
      <c r="G49" s="7">
        <v>72250000</v>
      </c>
      <c r="H49" s="7">
        <v>44470000</v>
      </c>
      <c r="I49" s="7" t="s">
        <v>397</v>
      </c>
      <c r="J49" s="7" t="s">
        <v>398</v>
      </c>
      <c r="K49" s="7" t="s">
        <v>399</v>
      </c>
      <c r="L49" s="7">
        <v>0.38779999999999998</v>
      </c>
      <c r="M49" s="7">
        <v>0.5716</v>
      </c>
      <c r="N49" s="7">
        <v>0</v>
      </c>
      <c r="O49" s="7">
        <v>4.58E-2</v>
      </c>
      <c r="P49" s="7">
        <v>4.9299999999999997E-2</v>
      </c>
      <c r="Q49" s="9" t="s">
        <v>400</v>
      </c>
      <c r="R49" s="9" t="s">
        <v>401</v>
      </c>
      <c r="S49" s="7"/>
      <c r="T49" s="7"/>
      <c r="V49" s="5" t="str">
        <f t="shared" si="1"/>
        <v/>
      </c>
      <c r="W49" s="6"/>
    </row>
    <row r="50" spans="1:23" x14ac:dyDescent="0.3">
      <c r="A50" s="2" t="s">
        <v>402</v>
      </c>
      <c r="B50" s="2">
        <v>0</v>
      </c>
      <c r="C50" s="2" t="s">
        <v>403</v>
      </c>
      <c r="D50" s="2"/>
      <c r="E50" s="3" t="s">
        <v>404</v>
      </c>
      <c r="F50" s="3"/>
      <c r="G50" s="2">
        <v>45</v>
      </c>
      <c r="H50" s="2"/>
      <c r="I50" s="2" t="s">
        <v>405</v>
      </c>
      <c r="J50" s="2" t="s">
        <v>406</v>
      </c>
      <c r="K50" s="2"/>
      <c r="L50" s="2"/>
      <c r="M50" s="2"/>
      <c r="N50" s="2"/>
      <c r="O50" s="2"/>
      <c r="P50" s="2"/>
      <c r="Q50" s="4" t="s">
        <v>407</v>
      </c>
      <c r="R50" s="2"/>
      <c r="S50" s="2"/>
      <c r="T50" s="2"/>
      <c r="V50" s="5" t="str">
        <f t="shared" si="1"/>
        <v/>
      </c>
      <c r="W50" s="6"/>
    </row>
    <row r="51" spans="1:23" ht="36" x14ac:dyDescent="0.3">
      <c r="A51" s="7" t="s">
        <v>408</v>
      </c>
      <c r="B51" s="7">
        <v>1</v>
      </c>
      <c r="C51" s="7" t="s">
        <v>32</v>
      </c>
      <c r="D51" s="7" t="s">
        <v>32</v>
      </c>
      <c r="E51" s="8" t="s">
        <v>409</v>
      </c>
      <c r="F51" s="8" t="s">
        <v>410</v>
      </c>
      <c r="G51" s="7">
        <v>72000000</v>
      </c>
      <c r="H51" s="7">
        <v>72000000</v>
      </c>
      <c r="I51" s="7" t="s">
        <v>411</v>
      </c>
      <c r="J51" s="7" t="s">
        <v>412</v>
      </c>
      <c r="K51" s="7" t="s">
        <v>413</v>
      </c>
      <c r="L51" s="7">
        <v>0.59530000000000005</v>
      </c>
      <c r="M51" s="7">
        <v>0.56010000000000004</v>
      </c>
      <c r="N51" s="7">
        <v>0.2</v>
      </c>
      <c r="O51" s="7">
        <v>0.85640000000000005</v>
      </c>
      <c r="P51" s="7">
        <v>4.4499999999999998E-2</v>
      </c>
      <c r="Q51" s="9" t="s">
        <v>414</v>
      </c>
      <c r="R51" s="9" t="s">
        <v>415</v>
      </c>
      <c r="S51" s="7"/>
      <c r="T51" s="7"/>
      <c r="V51" s="5" t="str">
        <f t="shared" si="1"/>
        <v/>
      </c>
      <c r="W51" s="6"/>
    </row>
    <row r="52" spans="1:23" ht="24" x14ac:dyDescent="0.3">
      <c r="A52" s="2" t="s">
        <v>416</v>
      </c>
      <c r="B52" s="2">
        <v>0</v>
      </c>
      <c r="C52" s="2" t="s">
        <v>417</v>
      </c>
      <c r="D52" s="2"/>
      <c r="E52" s="3" t="s">
        <v>418</v>
      </c>
      <c r="F52" s="3"/>
      <c r="G52" s="2">
        <v>72</v>
      </c>
      <c r="H52" s="2"/>
      <c r="I52" s="2" t="s">
        <v>419</v>
      </c>
      <c r="J52" s="2" t="s">
        <v>420</v>
      </c>
      <c r="K52" s="2"/>
      <c r="L52" s="2"/>
      <c r="M52" s="2"/>
      <c r="N52" s="2"/>
      <c r="O52" s="2"/>
      <c r="P52" s="2"/>
      <c r="Q52" s="4" t="s">
        <v>421</v>
      </c>
      <c r="R52" s="2"/>
      <c r="S52" s="2"/>
      <c r="T52" s="2"/>
      <c r="V52" s="5" t="str">
        <f t="shared" si="1"/>
        <v/>
      </c>
      <c r="W52" s="6"/>
    </row>
    <row r="53" spans="1:23" x14ac:dyDescent="0.3">
      <c r="A53" s="7" t="s">
        <v>422</v>
      </c>
      <c r="B53" s="7">
        <v>1</v>
      </c>
      <c r="C53" s="7" t="s">
        <v>423</v>
      </c>
      <c r="D53" s="7" t="s">
        <v>423</v>
      </c>
      <c r="E53" s="8" t="s">
        <v>424</v>
      </c>
      <c r="F53" s="8" t="s">
        <v>425</v>
      </c>
      <c r="G53" s="7">
        <v>72267000</v>
      </c>
      <c r="H53" s="7">
        <v>72267000</v>
      </c>
      <c r="I53" s="7" t="s">
        <v>426</v>
      </c>
      <c r="J53" s="7" t="s">
        <v>427</v>
      </c>
      <c r="K53" s="7" t="s">
        <v>428</v>
      </c>
      <c r="L53" s="7">
        <v>0.87870000000000004</v>
      </c>
      <c r="M53" s="7">
        <v>0.8236</v>
      </c>
      <c r="N53" s="7">
        <v>1</v>
      </c>
      <c r="O53" s="7">
        <v>0.74619999999999997</v>
      </c>
      <c r="P53" s="7">
        <v>2.2599999999999999E-2</v>
      </c>
      <c r="Q53" s="9" t="s">
        <v>429</v>
      </c>
      <c r="R53" s="9" t="s">
        <v>430</v>
      </c>
      <c r="S53" s="7"/>
      <c r="T53" s="7"/>
      <c r="V53" s="5" t="str">
        <f t="shared" si="1"/>
        <v/>
      </c>
      <c r="W53" s="6"/>
    </row>
    <row r="54" spans="1:23" ht="48" x14ac:dyDescent="0.3">
      <c r="A54" s="2" t="s">
        <v>431</v>
      </c>
      <c r="B54" s="2">
        <v>0</v>
      </c>
      <c r="C54" s="2" t="s">
        <v>432</v>
      </c>
      <c r="D54" s="2"/>
      <c r="E54" s="3" t="s">
        <v>433</v>
      </c>
      <c r="F54" s="3"/>
      <c r="G54" s="2">
        <v>48</v>
      </c>
      <c r="H54" s="2"/>
      <c r="I54" s="2" t="s">
        <v>434</v>
      </c>
      <c r="J54" s="2" t="s">
        <v>435</v>
      </c>
      <c r="K54" s="2"/>
      <c r="L54" s="2"/>
      <c r="M54" s="2"/>
      <c r="N54" s="2"/>
      <c r="O54" s="2"/>
      <c r="P54" s="2"/>
      <c r="Q54" s="4" t="s">
        <v>436</v>
      </c>
      <c r="R54" s="2"/>
      <c r="S54" s="2"/>
      <c r="T54" s="2"/>
      <c r="V54" s="5" t="str">
        <f t="shared" si="1"/>
        <v/>
      </c>
      <c r="W54" s="6"/>
    </row>
    <row r="55" spans="1:23" ht="24" x14ac:dyDescent="0.3">
      <c r="A55" s="7" t="s">
        <v>437</v>
      </c>
      <c r="B55" s="7">
        <v>1</v>
      </c>
      <c r="C55" s="7" t="s">
        <v>41</v>
      </c>
      <c r="D55" s="7" t="s">
        <v>41</v>
      </c>
      <c r="E55" s="8" t="s">
        <v>438</v>
      </c>
      <c r="F55" s="8" t="s">
        <v>138</v>
      </c>
      <c r="G55" s="7">
        <v>72267000</v>
      </c>
      <c r="H55" s="7">
        <v>72267000</v>
      </c>
      <c r="I55" s="7" t="s">
        <v>439</v>
      </c>
      <c r="J55" s="7" t="s">
        <v>440</v>
      </c>
      <c r="K55" s="7" t="s">
        <v>141</v>
      </c>
      <c r="L55" s="7">
        <v>0.83069999999999999</v>
      </c>
      <c r="M55" s="7">
        <v>0.67010000000000003</v>
      </c>
      <c r="N55" s="7">
        <v>1</v>
      </c>
      <c r="O55" s="7">
        <v>0.8135</v>
      </c>
      <c r="P55" s="7">
        <v>0.20399999999999999</v>
      </c>
      <c r="Q55" s="9" t="s">
        <v>441</v>
      </c>
      <c r="R55" s="9" t="s">
        <v>143</v>
      </c>
      <c r="S55" s="7"/>
      <c r="T55" s="7"/>
      <c r="V55" s="5" t="str">
        <f t="shared" si="1"/>
        <v/>
      </c>
      <c r="W55" s="6"/>
    </row>
    <row r="56" spans="1:23" ht="36" x14ac:dyDescent="0.3">
      <c r="A56" s="7" t="s">
        <v>442</v>
      </c>
      <c r="B56" s="7">
        <v>1</v>
      </c>
      <c r="C56" s="7" t="s">
        <v>443</v>
      </c>
      <c r="D56" s="7" t="s">
        <v>443</v>
      </c>
      <c r="E56" s="8" t="s">
        <v>444</v>
      </c>
      <c r="F56" s="8" t="s">
        <v>445</v>
      </c>
      <c r="G56" s="7">
        <v>48000000</v>
      </c>
      <c r="H56" s="7">
        <v>72500000</v>
      </c>
      <c r="I56" s="7" t="s">
        <v>446</v>
      </c>
      <c r="J56" s="7" t="s">
        <v>447</v>
      </c>
      <c r="K56" s="7" t="s">
        <v>159</v>
      </c>
      <c r="L56" s="7">
        <v>0.44519999999999998</v>
      </c>
      <c r="M56" s="7">
        <v>0.31390000000000001</v>
      </c>
      <c r="N56" s="7">
        <v>0</v>
      </c>
      <c r="O56" s="7">
        <v>0.84819999999999995</v>
      </c>
      <c r="P56" s="7">
        <v>8.8200000000000001E-2</v>
      </c>
      <c r="Q56" s="9" t="s">
        <v>448</v>
      </c>
      <c r="R56" s="9" t="s">
        <v>449</v>
      </c>
      <c r="S56" s="7"/>
      <c r="T56" s="7"/>
      <c r="V56" s="5" t="str">
        <f t="shared" si="1"/>
        <v/>
      </c>
      <c r="W56" s="6"/>
    </row>
    <row r="57" spans="1:23" x14ac:dyDescent="0.3">
      <c r="A57" s="2" t="s">
        <v>450</v>
      </c>
      <c r="B57" s="2">
        <v>0</v>
      </c>
      <c r="C57" s="2" t="s">
        <v>432</v>
      </c>
      <c r="D57" s="2"/>
      <c r="E57" s="3" t="s">
        <v>451</v>
      </c>
      <c r="F57" s="3"/>
      <c r="G57" s="2">
        <v>48</v>
      </c>
      <c r="H57" s="2"/>
      <c r="I57" s="2" t="s">
        <v>452</v>
      </c>
      <c r="J57" s="2" t="s">
        <v>453</v>
      </c>
      <c r="K57" s="2"/>
      <c r="L57" s="2"/>
      <c r="M57" s="2"/>
      <c r="N57" s="2"/>
      <c r="O57" s="2"/>
      <c r="P57" s="2"/>
      <c r="Q57" s="4" t="s">
        <v>454</v>
      </c>
      <c r="R57" s="2"/>
      <c r="S57" s="2"/>
      <c r="T57" s="2"/>
      <c r="V57" s="5" t="str">
        <f t="shared" si="1"/>
        <v/>
      </c>
      <c r="W57" s="6"/>
    </row>
    <row r="58" spans="1:23" ht="24" x14ac:dyDescent="0.3">
      <c r="A58" s="7" t="s">
        <v>455</v>
      </c>
      <c r="B58" s="7">
        <v>1</v>
      </c>
      <c r="C58" s="7" t="s">
        <v>128</v>
      </c>
      <c r="D58" s="7" t="s">
        <v>128</v>
      </c>
      <c r="E58" s="8" t="s">
        <v>456</v>
      </c>
      <c r="F58" s="8" t="s">
        <v>457</v>
      </c>
      <c r="G58" s="7">
        <v>48000000</v>
      </c>
      <c r="H58" s="7">
        <v>72267100</v>
      </c>
      <c r="I58" s="7" t="s">
        <v>458</v>
      </c>
      <c r="J58" s="7" t="s">
        <v>459</v>
      </c>
      <c r="K58" s="7" t="s">
        <v>460</v>
      </c>
      <c r="L58" s="7">
        <v>0.55789999999999995</v>
      </c>
      <c r="M58" s="7">
        <v>0.5847</v>
      </c>
      <c r="N58" s="7">
        <v>0</v>
      </c>
      <c r="O58" s="7">
        <v>0.87019999999999997</v>
      </c>
      <c r="P58" s="7">
        <v>2.1000000000000001E-2</v>
      </c>
      <c r="Q58" s="9" t="s">
        <v>461</v>
      </c>
      <c r="R58" s="9" t="s">
        <v>462</v>
      </c>
      <c r="S58" s="7"/>
      <c r="T58" s="7"/>
      <c r="V58" s="5" t="str">
        <f t="shared" si="1"/>
        <v/>
      </c>
      <c r="W58" s="6"/>
    </row>
    <row r="59" spans="1:23" ht="36" x14ac:dyDescent="0.3">
      <c r="A59" s="7" t="s">
        <v>463</v>
      </c>
      <c r="B59" s="7">
        <v>1</v>
      </c>
      <c r="C59" s="7" t="s">
        <v>464</v>
      </c>
      <c r="D59" s="7" t="s">
        <v>464</v>
      </c>
      <c r="E59" s="8" t="s">
        <v>465</v>
      </c>
      <c r="F59" s="8" t="s">
        <v>466</v>
      </c>
      <c r="G59" s="7">
        <v>18143000</v>
      </c>
      <c r="H59" s="7">
        <v>72212000</v>
      </c>
      <c r="I59" s="7" t="s">
        <v>467</v>
      </c>
      <c r="J59" s="7" t="s">
        <v>468</v>
      </c>
      <c r="K59" s="7" t="s">
        <v>469</v>
      </c>
      <c r="L59" s="7">
        <v>0.40960000000000002</v>
      </c>
      <c r="M59" s="7">
        <v>0.621</v>
      </c>
      <c r="N59" s="7">
        <v>0</v>
      </c>
      <c r="O59" s="7">
        <v>5.6300000000000003E-2</v>
      </c>
      <c r="P59" s="7"/>
      <c r="Q59" s="9" t="s">
        <v>470</v>
      </c>
      <c r="R59" s="9" t="s">
        <v>471</v>
      </c>
      <c r="S59" s="7"/>
      <c r="T59" s="7"/>
      <c r="V59" s="5" t="str">
        <f t="shared" si="1"/>
        <v/>
      </c>
      <c r="W59" s="6"/>
    </row>
    <row r="60" spans="1:23" ht="36" x14ac:dyDescent="0.3">
      <c r="A60" s="7" t="s">
        <v>472</v>
      </c>
      <c r="B60" s="7">
        <v>1</v>
      </c>
      <c r="C60" s="7" t="s">
        <v>473</v>
      </c>
      <c r="D60" s="7" t="s">
        <v>473</v>
      </c>
      <c r="E60" s="8" t="s">
        <v>474</v>
      </c>
      <c r="F60" s="8" t="s">
        <v>475</v>
      </c>
      <c r="G60" s="7">
        <v>72000000</v>
      </c>
      <c r="H60" s="7">
        <v>31625100</v>
      </c>
      <c r="I60" s="7" t="s">
        <v>476</v>
      </c>
      <c r="J60" s="7" t="s">
        <v>477</v>
      </c>
      <c r="K60" s="7" t="s">
        <v>478</v>
      </c>
      <c r="L60" s="7">
        <v>0.48080000000000001</v>
      </c>
      <c r="M60" s="7">
        <v>0.38069999999999998</v>
      </c>
      <c r="N60" s="7">
        <v>0</v>
      </c>
      <c r="O60" s="7">
        <v>0.89249999999999996</v>
      </c>
      <c r="P60" s="7"/>
      <c r="Q60" s="9" t="s">
        <v>479</v>
      </c>
      <c r="R60" s="9" t="s">
        <v>480</v>
      </c>
      <c r="S60" s="7"/>
      <c r="T60" s="7"/>
      <c r="V60" s="5" t="str">
        <f t="shared" si="1"/>
        <v/>
      </c>
      <c r="W60" s="6"/>
    </row>
    <row r="61" spans="1:23" ht="24" x14ac:dyDescent="0.3">
      <c r="A61" s="2" t="s">
        <v>481</v>
      </c>
      <c r="B61" s="2">
        <v>0</v>
      </c>
      <c r="C61" s="2" t="s">
        <v>482</v>
      </c>
      <c r="D61" s="2"/>
      <c r="E61" s="3" t="s">
        <v>483</v>
      </c>
      <c r="F61" s="3"/>
      <c r="G61" s="2">
        <v>32</v>
      </c>
      <c r="H61" s="2"/>
      <c r="I61" s="2" t="s">
        <v>484</v>
      </c>
      <c r="J61" s="2" t="s">
        <v>485</v>
      </c>
      <c r="K61" s="2"/>
      <c r="L61" s="2"/>
      <c r="M61" s="2"/>
      <c r="N61" s="2"/>
      <c r="O61" s="2"/>
      <c r="P61" s="2"/>
      <c r="Q61" s="4" t="s">
        <v>486</v>
      </c>
      <c r="R61" s="2"/>
      <c r="S61" s="2" t="s">
        <v>487</v>
      </c>
      <c r="T61" s="2" t="s">
        <v>488</v>
      </c>
      <c r="V61" s="5" t="str">
        <f t="shared" si="1"/>
        <v/>
      </c>
      <c r="W61" s="6"/>
    </row>
    <row r="62" spans="1:23" ht="24" x14ac:dyDescent="0.3">
      <c r="A62" s="7" t="s">
        <v>489</v>
      </c>
      <c r="B62" s="7">
        <v>1</v>
      </c>
      <c r="C62" s="7" t="s">
        <v>490</v>
      </c>
      <c r="D62" s="7" t="s">
        <v>490</v>
      </c>
      <c r="E62" s="8" t="s">
        <v>491</v>
      </c>
      <c r="F62" s="8" t="s">
        <v>492</v>
      </c>
      <c r="G62" s="7">
        <v>48612000</v>
      </c>
      <c r="H62" s="7">
        <v>72611000</v>
      </c>
      <c r="I62" s="7" t="s">
        <v>493</v>
      </c>
      <c r="J62" s="7" t="s">
        <v>494</v>
      </c>
      <c r="K62" s="7" t="s">
        <v>495</v>
      </c>
      <c r="L62" s="7">
        <v>0.6139</v>
      </c>
      <c r="M62" s="7">
        <v>0.68200000000000005</v>
      </c>
      <c r="N62" s="7">
        <v>0</v>
      </c>
      <c r="O62" s="7">
        <v>0.95540000000000003</v>
      </c>
      <c r="P62" s="7">
        <v>1.15E-2</v>
      </c>
      <c r="Q62" s="9" t="s">
        <v>496</v>
      </c>
      <c r="R62" s="9" t="s">
        <v>497</v>
      </c>
      <c r="S62" s="7"/>
      <c r="T62" s="7"/>
      <c r="V62" s="5" t="str">
        <f t="shared" si="1"/>
        <v/>
      </c>
      <c r="W62" s="6"/>
    </row>
    <row r="63" spans="1:23" ht="36" x14ac:dyDescent="0.3">
      <c r="A63" s="7" t="s">
        <v>498</v>
      </c>
      <c r="B63" s="7">
        <v>1</v>
      </c>
      <c r="C63" s="7" t="s">
        <v>128</v>
      </c>
      <c r="D63" s="7" t="s">
        <v>128</v>
      </c>
      <c r="E63" s="8" t="s">
        <v>499</v>
      </c>
      <c r="F63" s="8" t="s">
        <v>500</v>
      </c>
      <c r="G63" s="7">
        <v>72000000</v>
      </c>
      <c r="H63" s="7">
        <v>72316000</v>
      </c>
      <c r="I63" s="7" t="s">
        <v>501</v>
      </c>
      <c r="J63" s="7" t="s">
        <v>122</v>
      </c>
      <c r="K63" s="7" t="s">
        <v>502</v>
      </c>
      <c r="L63" s="7">
        <v>0.52210000000000001</v>
      </c>
      <c r="M63" s="7">
        <v>0.42420000000000002</v>
      </c>
      <c r="N63" s="7">
        <v>0.2</v>
      </c>
      <c r="O63" s="7">
        <v>0.76219999999999999</v>
      </c>
      <c r="P63" s="7">
        <v>5.4999999999999997E-3</v>
      </c>
      <c r="Q63" s="9" t="s">
        <v>503</v>
      </c>
      <c r="R63" s="9" t="s">
        <v>504</v>
      </c>
      <c r="S63" s="7"/>
      <c r="T63" s="7"/>
      <c r="V63" s="5" t="str">
        <f t="shared" si="1"/>
        <v/>
      </c>
      <c r="W63" s="6"/>
    </row>
    <row r="64" spans="1:23" ht="24" x14ac:dyDescent="0.3">
      <c r="A64" s="7" t="s">
        <v>505</v>
      </c>
      <c r="B64" s="7">
        <v>1</v>
      </c>
      <c r="C64" s="7" t="s">
        <v>261</v>
      </c>
      <c r="D64" s="7" t="s">
        <v>261</v>
      </c>
      <c r="E64" s="8" t="s">
        <v>263</v>
      </c>
      <c r="F64" s="8" t="s">
        <v>506</v>
      </c>
      <c r="G64" s="7">
        <v>72600000</v>
      </c>
      <c r="H64" s="7">
        <v>72250000</v>
      </c>
      <c r="I64" s="7" t="s">
        <v>266</v>
      </c>
      <c r="J64" s="7" t="s">
        <v>507</v>
      </c>
      <c r="K64" s="7" t="s">
        <v>508</v>
      </c>
      <c r="L64" s="7">
        <v>0.59930000000000005</v>
      </c>
      <c r="M64" s="7">
        <v>0.55200000000000005</v>
      </c>
      <c r="N64" s="7">
        <v>0.2</v>
      </c>
      <c r="O64" s="7">
        <v>0.89249999999999996</v>
      </c>
      <c r="P64" s="7">
        <v>5.1999999999999998E-3</v>
      </c>
      <c r="Q64" s="9" t="s">
        <v>268</v>
      </c>
      <c r="R64" s="9" t="s">
        <v>509</v>
      </c>
      <c r="S64" s="7"/>
      <c r="T64" s="7"/>
      <c r="V64" s="5" t="str">
        <f t="shared" si="1"/>
        <v/>
      </c>
      <c r="W64" s="6"/>
    </row>
    <row r="65" spans="1:23" ht="24" x14ac:dyDescent="0.3">
      <c r="A65" s="7" t="s">
        <v>510</v>
      </c>
      <c r="B65" s="7">
        <v>1</v>
      </c>
      <c r="C65" s="7" t="s">
        <v>511</v>
      </c>
      <c r="D65" s="7" t="s">
        <v>511</v>
      </c>
      <c r="E65" s="8" t="s">
        <v>512</v>
      </c>
      <c r="F65" s="8" t="s">
        <v>512</v>
      </c>
      <c r="G65" s="7">
        <v>72224000</v>
      </c>
      <c r="H65" s="7">
        <v>72224000</v>
      </c>
      <c r="I65" s="7" t="s">
        <v>513</v>
      </c>
      <c r="J65" s="7" t="s">
        <v>514</v>
      </c>
      <c r="K65" s="7" t="s">
        <v>515</v>
      </c>
      <c r="L65" s="7">
        <v>0.95340000000000003</v>
      </c>
      <c r="M65" s="7">
        <v>1</v>
      </c>
      <c r="N65" s="7">
        <v>1</v>
      </c>
      <c r="O65" s="7">
        <v>0.76719999999999999</v>
      </c>
      <c r="P65" s="7">
        <v>3.1800000000000002E-2</v>
      </c>
      <c r="Q65" s="9" t="s">
        <v>516</v>
      </c>
      <c r="R65" s="9" t="s">
        <v>517</v>
      </c>
      <c r="S65" s="7"/>
      <c r="T65" s="7"/>
      <c r="V65" s="5" t="str">
        <f t="shared" si="1"/>
        <v/>
      </c>
      <c r="W65" s="6"/>
    </row>
    <row r="66" spans="1:23" ht="24" x14ac:dyDescent="0.3">
      <c r="A66" s="2" t="s">
        <v>518</v>
      </c>
      <c r="B66" s="2">
        <v>0</v>
      </c>
      <c r="C66" s="2" t="s">
        <v>519</v>
      </c>
      <c r="D66" s="2"/>
      <c r="E66" s="3" t="s">
        <v>520</v>
      </c>
      <c r="F66" s="3"/>
      <c r="G66" s="2">
        <v>35</v>
      </c>
      <c r="H66" s="2"/>
      <c r="I66" s="2" t="s">
        <v>521</v>
      </c>
      <c r="J66" s="2" t="s">
        <v>522</v>
      </c>
      <c r="K66" s="2"/>
      <c r="L66" s="2"/>
      <c r="M66" s="2"/>
      <c r="N66" s="2"/>
      <c r="O66" s="2"/>
      <c r="P66" s="2"/>
      <c r="Q66" s="4" t="s">
        <v>523</v>
      </c>
      <c r="R66" s="2"/>
      <c r="S66" s="2" t="s">
        <v>524</v>
      </c>
      <c r="T66" s="2" t="s">
        <v>525</v>
      </c>
      <c r="V66" s="5" t="str">
        <f t="shared" ref="V66:V97" si="2">IF(U66="credible_renewal","true_positive",IF(U66="not_credible_false_positive","false_positive",IF(U66="plausible_censored","true_negative_or_plausible_censored",IF(U66="missed_renewal_false_negative","false_negative",IF(OR(U66="doubtful_but_possible",U66="impossible_to_judge"),"not_applicable","")))))</f>
        <v/>
      </c>
      <c r="W66" s="6"/>
    </row>
    <row r="67" spans="1:23" ht="48" x14ac:dyDescent="0.3">
      <c r="A67" s="7" t="s">
        <v>526</v>
      </c>
      <c r="B67" s="7">
        <v>1</v>
      </c>
      <c r="C67" s="7" t="s">
        <v>527</v>
      </c>
      <c r="D67" s="7" t="s">
        <v>527</v>
      </c>
      <c r="E67" s="8" t="s">
        <v>528</v>
      </c>
      <c r="F67" s="8" t="s">
        <v>529</v>
      </c>
      <c r="G67" s="7">
        <v>72212900</v>
      </c>
      <c r="H67" s="7">
        <v>72314000</v>
      </c>
      <c r="I67" s="7" t="s">
        <v>530</v>
      </c>
      <c r="J67" s="7" t="s">
        <v>531</v>
      </c>
      <c r="K67" s="7" t="s">
        <v>532</v>
      </c>
      <c r="L67" s="7">
        <v>0.50609999999999999</v>
      </c>
      <c r="M67" s="7">
        <v>0.51659999999999995</v>
      </c>
      <c r="N67" s="7">
        <v>0.2</v>
      </c>
      <c r="O67" s="7">
        <v>0.4975</v>
      </c>
      <c r="P67" s="7">
        <v>1.4500000000000001E-2</v>
      </c>
      <c r="Q67" s="9" t="s">
        <v>533</v>
      </c>
      <c r="R67" s="9" t="s">
        <v>534</v>
      </c>
      <c r="S67" s="7"/>
      <c r="T67" s="7"/>
      <c r="V67" s="5" t="str">
        <f t="shared" si="2"/>
        <v/>
      </c>
      <c r="W67" s="6"/>
    </row>
    <row r="68" spans="1:23" ht="24" x14ac:dyDescent="0.3">
      <c r="A68" s="2" t="s">
        <v>535</v>
      </c>
      <c r="B68" s="2">
        <v>0</v>
      </c>
      <c r="C68" s="2" t="s">
        <v>536</v>
      </c>
      <c r="D68" s="2"/>
      <c r="E68" s="3" t="s">
        <v>537</v>
      </c>
      <c r="F68" s="3"/>
      <c r="G68" s="2">
        <v>30</v>
      </c>
      <c r="H68" s="2"/>
      <c r="I68" s="2" t="s">
        <v>538</v>
      </c>
      <c r="J68" s="2" t="s">
        <v>539</v>
      </c>
      <c r="K68" s="2"/>
      <c r="L68" s="2"/>
      <c r="M68" s="2"/>
      <c r="N68" s="2"/>
      <c r="O68" s="2"/>
      <c r="P68" s="2"/>
      <c r="Q68" s="4" t="s">
        <v>540</v>
      </c>
      <c r="R68" s="2"/>
      <c r="S68" s="2" t="s">
        <v>541</v>
      </c>
      <c r="T68" s="2" t="s">
        <v>542</v>
      </c>
      <c r="V68" s="5" t="str">
        <f t="shared" si="2"/>
        <v/>
      </c>
      <c r="W68" s="6"/>
    </row>
    <row r="69" spans="1:23" ht="36" x14ac:dyDescent="0.3">
      <c r="A69" s="7" t="s">
        <v>543</v>
      </c>
      <c r="B69" s="7">
        <v>1</v>
      </c>
      <c r="C69" s="7" t="s">
        <v>443</v>
      </c>
      <c r="D69" s="7" t="s">
        <v>443</v>
      </c>
      <c r="E69" s="8" t="s">
        <v>544</v>
      </c>
      <c r="F69" s="8" t="s">
        <v>545</v>
      </c>
      <c r="G69" s="7">
        <v>72500000</v>
      </c>
      <c r="H69" s="7">
        <v>32400000</v>
      </c>
      <c r="I69" s="7" t="s">
        <v>546</v>
      </c>
      <c r="J69" s="7" t="s">
        <v>547</v>
      </c>
      <c r="K69" s="7" t="s">
        <v>548</v>
      </c>
      <c r="L69" s="7">
        <v>0.51539999999999997</v>
      </c>
      <c r="M69" s="7">
        <v>0.45889999999999997</v>
      </c>
      <c r="N69" s="7">
        <v>0</v>
      </c>
      <c r="O69" s="7">
        <v>0.9093</v>
      </c>
      <c r="P69" s="7">
        <v>7.1499999999999994E-2</v>
      </c>
      <c r="Q69" s="9" t="s">
        <v>549</v>
      </c>
      <c r="R69" s="9" t="s">
        <v>550</v>
      </c>
      <c r="S69" s="7"/>
      <c r="T69" s="7"/>
      <c r="V69" s="5" t="str">
        <f t="shared" si="2"/>
        <v/>
      </c>
      <c r="W69" s="6"/>
    </row>
    <row r="70" spans="1:23" ht="24" x14ac:dyDescent="0.3">
      <c r="A70" s="7" t="s">
        <v>551</v>
      </c>
      <c r="B70" s="7">
        <v>1</v>
      </c>
      <c r="C70" s="7" t="s">
        <v>490</v>
      </c>
      <c r="D70" s="7" t="s">
        <v>490</v>
      </c>
      <c r="E70" s="8" t="s">
        <v>492</v>
      </c>
      <c r="F70" s="8" t="s">
        <v>552</v>
      </c>
      <c r="G70" s="7">
        <v>72611000</v>
      </c>
      <c r="H70" s="7">
        <v>32412100</v>
      </c>
      <c r="I70" s="7" t="s">
        <v>553</v>
      </c>
      <c r="J70" s="7" t="s">
        <v>539</v>
      </c>
      <c r="K70" s="7" t="s">
        <v>554</v>
      </c>
      <c r="L70" s="7">
        <v>0.37809999999999999</v>
      </c>
      <c r="M70" s="7">
        <v>0.36099999999999999</v>
      </c>
      <c r="N70" s="7">
        <v>0</v>
      </c>
      <c r="O70" s="7">
        <v>0.41839999999999999</v>
      </c>
      <c r="P70" s="7"/>
      <c r="Q70" s="9" t="s">
        <v>555</v>
      </c>
      <c r="R70" s="9" t="s">
        <v>556</v>
      </c>
      <c r="S70" s="7"/>
      <c r="T70" s="7"/>
      <c r="V70" s="5" t="str">
        <f t="shared" si="2"/>
        <v/>
      </c>
      <c r="W70" s="6"/>
    </row>
    <row r="71" spans="1:23" ht="24" x14ac:dyDescent="0.3">
      <c r="A71" s="2" t="s">
        <v>557</v>
      </c>
      <c r="B71" s="2">
        <v>0</v>
      </c>
      <c r="C71" s="2" t="s">
        <v>558</v>
      </c>
      <c r="D71" s="2"/>
      <c r="E71" s="3" t="s">
        <v>559</v>
      </c>
      <c r="F71" s="3"/>
      <c r="G71" s="2">
        <v>35</v>
      </c>
      <c r="H71" s="2"/>
      <c r="I71" s="2" t="s">
        <v>560</v>
      </c>
      <c r="J71" s="2" t="s">
        <v>561</v>
      </c>
      <c r="K71" s="2"/>
      <c r="L71" s="2"/>
      <c r="M71" s="2"/>
      <c r="N71" s="2"/>
      <c r="O71" s="2"/>
      <c r="P71" s="2"/>
      <c r="Q71" s="4" t="s">
        <v>562</v>
      </c>
      <c r="R71" s="2"/>
      <c r="S71" s="2" t="s">
        <v>563</v>
      </c>
      <c r="T71" s="2" t="s">
        <v>564</v>
      </c>
      <c r="V71" s="5" t="str">
        <f t="shared" si="2"/>
        <v/>
      </c>
      <c r="W71" s="6"/>
    </row>
    <row r="72" spans="1:23" ht="36" x14ac:dyDescent="0.3">
      <c r="A72" s="7" t="s">
        <v>565</v>
      </c>
      <c r="B72" s="7">
        <v>1</v>
      </c>
      <c r="C72" s="7" t="s">
        <v>32</v>
      </c>
      <c r="D72" s="7" t="s">
        <v>32</v>
      </c>
      <c r="E72" s="8" t="s">
        <v>566</v>
      </c>
      <c r="F72" s="8" t="s">
        <v>567</v>
      </c>
      <c r="G72" s="7">
        <v>48000000</v>
      </c>
      <c r="H72" s="7">
        <v>48000000</v>
      </c>
      <c r="I72" s="7" t="s">
        <v>568</v>
      </c>
      <c r="J72" s="7" t="s">
        <v>405</v>
      </c>
      <c r="K72" s="7" t="s">
        <v>569</v>
      </c>
      <c r="L72" s="7">
        <v>0.56140000000000001</v>
      </c>
      <c r="M72" s="7">
        <v>0.53010000000000002</v>
      </c>
      <c r="N72" s="7">
        <v>0.2</v>
      </c>
      <c r="O72" s="7">
        <v>0.74660000000000004</v>
      </c>
      <c r="P72" s="7">
        <v>9.4000000000000004E-3</v>
      </c>
      <c r="Q72" s="9" t="s">
        <v>570</v>
      </c>
      <c r="R72" s="9" t="s">
        <v>571</v>
      </c>
      <c r="S72" s="7"/>
      <c r="T72" s="7"/>
      <c r="V72" s="5" t="str">
        <f t="shared" si="2"/>
        <v/>
      </c>
      <c r="W72" s="6"/>
    </row>
    <row r="73" spans="1:23" ht="24" x14ac:dyDescent="0.3">
      <c r="A73" s="7" t="s">
        <v>572</v>
      </c>
      <c r="B73" s="7">
        <v>1</v>
      </c>
      <c r="C73" s="7" t="s">
        <v>573</v>
      </c>
      <c r="D73" s="7" t="s">
        <v>573</v>
      </c>
      <c r="E73" s="8" t="s">
        <v>574</v>
      </c>
      <c r="F73" s="8" t="s">
        <v>575</v>
      </c>
      <c r="G73" s="7">
        <v>32321300</v>
      </c>
      <c r="H73" s="7">
        <v>32321300</v>
      </c>
      <c r="I73" s="7" t="s">
        <v>576</v>
      </c>
      <c r="J73" s="7" t="s">
        <v>577</v>
      </c>
      <c r="K73" s="7" t="s">
        <v>578</v>
      </c>
      <c r="L73" s="7">
        <v>0.88729999999999998</v>
      </c>
      <c r="M73" s="7">
        <v>0.99639999999999995</v>
      </c>
      <c r="N73" s="7">
        <v>1</v>
      </c>
      <c r="O73" s="7">
        <v>0.44390000000000002</v>
      </c>
      <c r="P73" s="7">
        <v>4.7000000000000002E-3</v>
      </c>
      <c r="Q73" s="9" t="s">
        <v>579</v>
      </c>
      <c r="R73" s="9" t="s">
        <v>580</v>
      </c>
      <c r="S73" s="7"/>
      <c r="T73" s="7"/>
      <c r="V73" s="5" t="str">
        <f t="shared" si="2"/>
        <v/>
      </c>
      <c r="W73" s="6"/>
    </row>
    <row r="74" spans="1:23" ht="24" x14ac:dyDescent="0.3">
      <c r="A74" s="7" t="s">
        <v>581</v>
      </c>
      <c r="B74" s="7">
        <v>1</v>
      </c>
      <c r="C74" s="7" t="s">
        <v>301</v>
      </c>
      <c r="D74" s="7" t="s">
        <v>301</v>
      </c>
      <c r="E74" s="8" t="s">
        <v>303</v>
      </c>
      <c r="F74" s="8" t="s">
        <v>582</v>
      </c>
      <c r="G74" s="7"/>
      <c r="H74" s="7">
        <v>32420000</v>
      </c>
      <c r="I74" s="7" t="s">
        <v>306</v>
      </c>
      <c r="J74" s="7" t="s">
        <v>583</v>
      </c>
      <c r="K74" s="7" t="s">
        <v>584</v>
      </c>
      <c r="L74" s="7">
        <v>0.57650000000000001</v>
      </c>
      <c r="M74" s="7">
        <v>0.28139999999999998</v>
      </c>
      <c r="N74" s="7"/>
      <c r="O74" s="7">
        <v>0.84909999999999997</v>
      </c>
      <c r="P74" s="7"/>
      <c r="Q74" s="9" t="s">
        <v>308</v>
      </c>
      <c r="R74" s="9" t="s">
        <v>585</v>
      </c>
      <c r="S74" s="7"/>
      <c r="T74" s="7"/>
      <c r="V74" s="5" t="str">
        <f t="shared" si="2"/>
        <v/>
      </c>
      <c r="W74" s="6"/>
    </row>
    <row r="75" spans="1:23" x14ac:dyDescent="0.3">
      <c r="A75" s="2" t="s">
        <v>586</v>
      </c>
      <c r="B75" s="2">
        <v>0</v>
      </c>
      <c r="C75" s="2" t="s">
        <v>587</v>
      </c>
      <c r="D75" s="2"/>
      <c r="E75" s="3" t="s">
        <v>588</v>
      </c>
      <c r="F75" s="3"/>
      <c r="G75" s="2">
        <v>35</v>
      </c>
      <c r="H75" s="2"/>
      <c r="I75" s="2" t="s">
        <v>589</v>
      </c>
      <c r="J75" s="2" t="s">
        <v>590</v>
      </c>
      <c r="K75" s="2"/>
      <c r="L75" s="2"/>
      <c r="M75" s="2"/>
      <c r="N75" s="2"/>
      <c r="O75" s="2"/>
      <c r="P75" s="2"/>
      <c r="Q75" s="4" t="s">
        <v>591</v>
      </c>
      <c r="R75" s="2"/>
      <c r="S75" s="2"/>
      <c r="T75" s="2"/>
      <c r="V75" s="5" t="str">
        <f t="shared" si="2"/>
        <v/>
      </c>
      <c r="W75" s="6"/>
    </row>
    <row r="76" spans="1:23" ht="24" x14ac:dyDescent="0.3">
      <c r="A76" s="2" t="s">
        <v>592</v>
      </c>
      <c r="B76" s="2">
        <v>0</v>
      </c>
      <c r="C76" s="2" t="s">
        <v>593</v>
      </c>
      <c r="D76" s="2"/>
      <c r="E76" s="3" t="s">
        <v>594</v>
      </c>
      <c r="F76" s="3"/>
      <c r="G76" s="2">
        <v>48</v>
      </c>
      <c r="H76" s="2"/>
      <c r="I76" s="2" t="s">
        <v>595</v>
      </c>
      <c r="J76" s="2" t="s">
        <v>596</v>
      </c>
      <c r="K76" s="2"/>
      <c r="L76" s="2"/>
      <c r="M76" s="2"/>
      <c r="N76" s="2"/>
      <c r="O76" s="2"/>
      <c r="P76" s="2"/>
      <c r="Q76" s="4" t="s">
        <v>597</v>
      </c>
      <c r="R76" s="2"/>
      <c r="S76" s="2"/>
      <c r="T76" s="2"/>
      <c r="V76" s="5" t="str">
        <f t="shared" si="2"/>
        <v/>
      </c>
      <c r="W76" s="6"/>
    </row>
    <row r="77" spans="1:23" ht="36" x14ac:dyDescent="0.3">
      <c r="A77" s="2" t="s">
        <v>598</v>
      </c>
      <c r="B77" s="2">
        <v>0</v>
      </c>
      <c r="C77" s="2" t="s">
        <v>599</v>
      </c>
      <c r="D77" s="2"/>
      <c r="E77" s="3" t="s">
        <v>600</v>
      </c>
      <c r="F77" s="3"/>
      <c r="G77" s="2">
        <v>34</v>
      </c>
      <c r="H77" s="2"/>
      <c r="I77" s="2" t="s">
        <v>601</v>
      </c>
      <c r="J77" s="2" t="s">
        <v>602</v>
      </c>
      <c r="K77" s="2"/>
      <c r="L77" s="2"/>
      <c r="M77" s="2"/>
      <c r="N77" s="2"/>
      <c r="O77" s="2"/>
      <c r="P77" s="2"/>
      <c r="Q77" s="4" t="s">
        <v>603</v>
      </c>
      <c r="R77" s="2"/>
      <c r="S77" s="2"/>
      <c r="T77" s="2"/>
      <c r="V77" s="5" t="str">
        <f t="shared" si="2"/>
        <v/>
      </c>
      <c r="W77" s="6"/>
    </row>
    <row r="78" spans="1:23" ht="24" x14ac:dyDescent="0.3">
      <c r="A78" s="7" t="s">
        <v>604</v>
      </c>
      <c r="B78" s="7">
        <v>1</v>
      </c>
      <c r="C78" s="7" t="s">
        <v>261</v>
      </c>
      <c r="D78" s="7" t="s">
        <v>261</v>
      </c>
      <c r="E78" s="8" t="s">
        <v>605</v>
      </c>
      <c r="F78" s="8" t="s">
        <v>606</v>
      </c>
      <c r="G78" s="7">
        <v>72212900</v>
      </c>
      <c r="H78" s="7">
        <v>72224000</v>
      </c>
      <c r="I78" s="7" t="s">
        <v>607</v>
      </c>
      <c r="J78" s="7" t="s">
        <v>608</v>
      </c>
      <c r="K78" s="7" t="s">
        <v>609</v>
      </c>
      <c r="L78" s="7">
        <v>0.64129999999999998</v>
      </c>
      <c r="M78" s="7">
        <v>0.59150000000000003</v>
      </c>
      <c r="N78" s="7">
        <v>0.4</v>
      </c>
      <c r="O78" s="7">
        <v>0.77349999999999997</v>
      </c>
      <c r="P78" s="7">
        <v>1.44E-2</v>
      </c>
      <c r="Q78" s="9" t="s">
        <v>610</v>
      </c>
      <c r="R78" s="9" t="s">
        <v>611</v>
      </c>
      <c r="S78" s="7"/>
      <c r="T78" s="7"/>
      <c r="V78" s="5" t="str">
        <f t="shared" si="2"/>
        <v/>
      </c>
      <c r="W78" s="6"/>
    </row>
    <row r="79" spans="1:23" ht="36" x14ac:dyDescent="0.3">
      <c r="A79" s="7" t="s">
        <v>612</v>
      </c>
      <c r="B79" s="7">
        <v>1</v>
      </c>
      <c r="C79" s="7" t="s">
        <v>613</v>
      </c>
      <c r="D79" s="7" t="s">
        <v>613</v>
      </c>
      <c r="E79" s="8" t="s">
        <v>614</v>
      </c>
      <c r="F79" s="8" t="s">
        <v>615</v>
      </c>
      <c r="G79" s="7">
        <v>35111200</v>
      </c>
      <c r="H79" s="7">
        <v>35110000</v>
      </c>
      <c r="I79" s="7" t="s">
        <v>616</v>
      </c>
      <c r="J79" s="7" t="s">
        <v>617</v>
      </c>
      <c r="K79" s="7" t="s">
        <v>618</v>
      </c>
      <c r="L79" s="7">
        <v>0.64070000000000005</v>
      </c>
      <c r="M79" s="7">
        <v>0.80410000000000004</v>
      </c>
      <c r="N79" s="7">
        <v>0.6</v>
      </c>
      <c r="O79" s="7">
        <v>9.5399999999999999E-2</v>
      </c>
      <c r="P79" s="7"/>
      <c r="Q79" s="9" t="s">
        <v>619</v>
      </c>
      <c r="R79" s="9" t="s">
        <v>620</v>
      </c>
      <c r="S79" s="7"/>
      <c r="T79" s="7"/>
      <c r="V79" s="5" t="str">
        <f t="shared" si="2"/>
        <v/>
      </c>
      <c r="W79" s="6"/>
    </row>
    <row r="80" spans="1:23" ht="24" x14ac:dyDescent="0.3">
      <c r="A80" s="7" t="s">
        <v>621</v>
      </c>
      <c r="B80" s="7">
        <v>1</v>
      </c>
      <c r="C80" s="7" t="s">
        <v>334</v>
      </c>
      <c r="D80" s="7" t="s">
        <v>334</v>
      </c>
      <c r="E80" s="8" t="s">
        <v>622</v>
      </c>
      <c r="F80" s="8" t="s">
        <v>336</v>
      </c>
      <c r="G80" s="7">
        <v>72611000</v>
      </c>
      <c r="H80" s="7">
        <v>72611000</v>
      </c>
      <c r="I80" s="7" t="s">
        <v>452</v>
      </c>
      <c r="J80" s="7" t="s">
        <v>623</v>
      </c>
      <c r="K80" s="7" t="s">
        <v>339</v>
      </c>
      <c r="L80" s="7">
        <v>0.75009999999999999</v>
      </c>
      <c r="M80" s="7">
        <v>0.66910000000000003</v>
      </c>
      <c r="N80" s="7">
        <v>1</v>
      </c>
      <c r="O80" s="7">
        <v>0.41220000000000001</v>
      </c>
      <c r="P80" s="7">
        <v>0.24759999999999999</v>
      </c>
      <c r="Q80" s="9" t="s">
        <v>624</v>
      </c>
      <c r="R80" s="9" t="s">
        <v>341</v>
      </c>
      <c r="S80" s="7"/>
      <c r="T80" s="7"/>
      <c r="V80" s="5" t="str">
        <f t="shared" si="2"/>
        <v/>
      </c>
      <c r="W80" s="6"/>
    </row>
    <row r="81" spans="1:23" x14ac:dyDescent="0.3">
      <c r="A81" s="2" t="s">
        <v>625</v>
      </c>
      <c r="B81" s="2">
        <v>0</v>
      </c>
      <c r="C81" s="2" t="s">
        <v>626</v>
      </c>
      <c r="D81" s="2"/>
      <c r="E81" s="3" t="s">
        <v>627</v>
      </c>
      <c r="F81" s="3"/>
      <c r="G81" s="2">
        <v>79</v>
      </c>
      <c r="H81" s="2"/>
      <c r="I81" s="2" t="s">
        <v>67</v>
      </c>
      <c r="J81" s="2" t="s">
        <v>628</v>
      </c>
      <c r="K81" s="2"/>
      <c r="L81" s="2"/>
      <c r="M81" s="2"/>
      <c r="N81" s="2"/>
      <c r="O81" s="2"/>
      <c r="P81" s="2"/>
      <c r="Q81" s="4" t="s">
        <v>629</v>
      </c>
      <c r="R81" s="2"/>
      <c r="S81" s="2"/>
      <c r="T81" s="2"/>
      <c r="V81" s="5" t="str">
        <f t="shared" si="2"/>
        <v/>
      </c>
      <c r="W81" s="6"/>
    </row>
    <row r="82" spans="1:23" ht="24" x14ac:dyDescent="0.3">
      <c r="A82" s="7" t="s">
        <v>630</v>
      </c>
      <c r="B82" s="7">
        <v>1</v>
      </c>
      <c r="C82" s="7" t="s">
        <v>631</v>
      </c>
      <c r="D82" s="7" t="s">
        <v>631</v>
      </c>
      <c r="E82" s="8" t="s">
        <v>632</v>
      </c>
      <c r="F82" s="8" t="s">
        <v>633</v>
      </c>
      <c r="G82" s="7">
        <v>48000000</v>
      </c>
      <c r="H82" s="7">
        <v>72500000</v>
      </c>
      <c r="I82" s="7" t="s">
        <v>634</v>
      </c>
      <c r="J82" s="7" t="s">
        <v>635</v>
      </c>
      <c r="K82" s="7" t="s">
        <v>636</v>
      </c>
      <c r="L82" s="7">
        <v>0.43669999999999998</v>
      </c>
      <c r="M82" s="7">
        <v>0.3332</v>
      </c>
      <c r="N82" s="7">
        <v>0</v>
      </c>
      <c r="O82" s="7">
        <v>0.76690000000000003</v>
      </c>
      <c r="P82" s="7">
        <v>2.5000000000000001E-2</v>
      </c>
      <c r="Q82" s="9" t="s">
        <v>637</v>
      </c>
      <c r="R82" s="9" t="s">
        <v>638</v>
      </c>
      <c r="S82" s="7"/>
      <c r="T82" s="7"/>
      <c r="V82" s="5" t="str">
        <f t="shared" si="2"/>
        <v/>
      </c>
      <c r="W82" s="6"/>
    </row>
    <row r="83" spans="1:23" ht="36" x14ac:dyDescent="0.3">
      <c r="A83" s="7" t="s">
        <v>639</v>
      </c>
      <c r="B83" s="7">
        <v>1</v>
      </c>
      <c r="C83" s="7" t="s">
        <v>473</v>
      </c>
      <c r="D83" s="7" t="s">
        <v>473</v>
      </c>
      <c r="E83" s="8" t="s">
        <v>475</v>
      </c>
      <c r="F83" s="8" t="s">
        <v>640</v>
      </c>
      <c r="G83" s="7">
        <v>31625100</v>
      </c>
      <c r="H83" s="7">
        <v>79995100</v>
      </c>
      <c r="I83" s="7" t="s">
        <v>478</v>
      </c>
      <c r="J83" s="7" t="s">
        <v>641</v>
      </c>
      <c r="K83" s="7" t="s">
        <v>642</v>
      </c>
      <c r="L83" s="7">
        <v>0.374</v>
      </c>
      <c r="M83" s="7">
        <v>0.43280000000000002</v>
      </c>
      <c r="N83" s="7">
        <v>0</v>
      </c>
      <c r="O83" s="7">
        <v>0.25419999999999998</v>
      </c>
      <c r="P83" s="7"/>
      <c r="Q83" s="9" t="s">
        <v>480</v>
      </c>
      <c r="R83" s="9" t="s">
        <v>643</v>
      </c>
      <c r="S83" s="7"/>
      <c r="T83" s="7"/>
      <c r="V83" s="5" t="str">
        <f t="shared" si="2"/>
        <v/>
      </c>
      <c r="W83" s="6"/>
    </row>
    <row r="84" spans="1:23" ht="36" x14ac:dyDescent="0.3">
      <c r="A84" s="7" t="s">
        <v>644</v>
      </c>
      <c r="B84" s="7">
        <v>1</v>
      </c>
      <c r="C84" s="7" t="s">
        <v>169</v>
      </c>
      <c r="D84" s="7" t="s">
        <v>170</v>
      </c>
      <c r="E84" s="8" t="s">
        <v>645</v>
      </c>
      <c r="F84" s="8" t="s">
        <v>646</v>
      </c>
      <c r="G84" s="7">
        <v>72000000</v>
      </c>
      <c r="H84" s="7">
        <v>72510000</v>
      </c>
      <c r="I84" s="7" t="s">
        <v>647</v>
      </c>
      <c r="J84" s="7" t="s">
        <v>648</v>
      </c>
      <c r="K84" s="7" t="s">
        <v>649</v>
      </c>
      <c r="L84" s="7">
        <v>0.47989999999999999</v>
      </c>
      <c r="M84" s="7">
        <v>0.40360000000000001</v>
      </c>
      <c r="N84" s="7">
        <v>0.2</v>
      </c>
      <c r="O84" s="7">
        <v>0.59240000000000004</v>
      </c>
      <c r="P84" s="7">
        <v>3.8699999999999998E-2</v>
      </c>
      <c r="Q84" s="9" t="s">
        <v>650</v>
      </c>
      <c r="R84" s="9" t="s">
        <v>651</v>
      </c>
      <c r="S84" s="7"/>
      <c r="T84" s="7"/>
      <c r="V84" s="5" t="str">
        <f t="shared" si="2"/>
        <v/>
      </c>
      <c r="W84" s="6"/>
    </row>
    <row r="85" spans="1:23" ht="24" x14ac:dyDescent="0.3">
      <c r="A85" s="2" t="s">
        <v>652</v>
      </c>
      <c r="B85" s="2">
        <v>0</v>
      </c>
      <c r="C85" s="2" t="s">
        <v>653</v>
      </c>
      <c r="D85" s="2"/>
      <c r="E85" s="3" t="s">
        <v>654</v>
      </c>
      <c r="F85" s="3"/>
      <c r="G85" s="2">
        <v>32</v>
      </c>
      <c r="H85" s="2"/>
      <c r="I85" s="2" t="s">
        <v>655</v>
      </c>
      <c r="J85" s="2" t="s">
        <v>656</v>
      </c>
      <c r="K85" s="2"/>
      <c r="L85" s="2"/>
      <c r="M85" s="2"/>
      <c r="N85" s="2"/>
      <c r="O85" s="2"/>
      <c r="P85" s="2"/>
      <c r="Q85" s="4" t="s">
        <v>657</v>
      </c>
      <c r="R85" s="2"/>
      <c r="S85" s="2"/>
      <c r="T85" s="2"/>
      <c r="V85" s="5" t="str">
        <f t="shared" si="2"/>
        <v/>
      </c>
      <c r="W85" s="6"/>
    </row>
    <row r="86" spans="1:23" ht="36" x14ac:dyDescent="0.3">
      <c r="A86" s="2" t="s">
        <v>658</v>
      </c>
      <c r="B86" s="2">
        <v>0</v>
      </c>
      <c r="C86" s="2" t="s">
        <v>659</v>
      </c>
      <c r="D86" s="2"/>
      <c r="E86" s="3" t="s">
        <v>660</v>
      </c>
      <c r="F86" s="3"/>
      <c r="G86" s="2"/>
      <c r="H86" s="2"/>
      <c r="I86" s="2" t="s">
        <v>661</v>
      </c>
      <c r="J86" s="2" t="s">
        <v>662</v>
      </c>
      <c r="K86" s="2"/>
      <c r="L86" s="2"/>
      <c r="M86" s="2"/>
      <c r="N86" s="2"/>
      <c r="O86" s="2"/>
      <c r="P86" s="2"/>
      <c r="Q86" s="4" t="s">
        <v>663</v>
      </c>
      <c r="R86" s="2"/>
      <c r="S86" s="2"/>
      <c r="T86" s="2"/>
      <c r="V86" s="5" t="str">
        <f t="shared" si="2"/>
        <v/>
      </c>
      <c r="W86" s="6"/>
    </row>
    <row r="87" spans="1:23" ht="24" x14ac:dyDescent="0.3">
      <c r="A87" s="7" t="s">
        <v>664</v>
      </c>
      <c r="B87" s="7">
        <v>1</v>
      </c>
      <c r="C87" s="7" t="s">
        <v>41</v>
      </c>
      <c r="D87" s="7" t="s">
        <v>41</v>
      </c>
      <c r="E87" s="8" t="s">
        <v>665</v>
      </c>
      <c r="F87" s="8" t="s">
        <v>438</v>
      </c>
      <c r="G87" s="7">
        <v>72267000</v>
      </c>
      <c r="H87" s="7">
        <v>72267000</v>
      </c>
      <c r="I87" s="7" t="s">
        <v>666</v>
      </c>
      <c r="J87" s="7" t="s">
        <v>667</v>
      </c>
      <c r="K87" s="7" t="s">
        <v>439</v>
      </c>
      <c r="L87" s="7">
        <v>0.58930000000000005</v>
      </c>
      <c r="M87" s="7">
        <v>0.33629999999999999</v>
      </c>
      <c r="N87" s="7">
        <v>1</v>
      </c>
      <c r="O87" s="7">
        <v>0.2742</v>
      </c>
      <c r="P87" s="7">
        <v>1.1000000000000001E-3</v>
      </c>
      <c r="Q87" s="9" t="s">
        <v>668</v>
      </c>
      <c r="R87" s="9" t="s">
        <v>441</v>
      </c>
      <c r="S87" s="7"/>
      <c r="T87" s="7"/>
      <c r="V87" s="5" t="str">
        <f t="shared" si="2"/>
        <v/>
      </c>
      <c r="W87" s="6"/>
    </row>
    <row r="88" spans="1:23" ht="36" x14ac:dyDescent="0.3">
      <c r="A88" s="7" t="s">
        <v>669</v>
      </c>
      <c r="B88" s="7">
        <v>1</v>
      </c>
      <c r="C88" s="7" t="s">
        <v>32</v>
      </c>
      <c r="D88" s="7" t="s">
        <v>32</v>
      </c>
      <c r="E88" s="8" t="s">
        <v>670</v>
      </c>
      <c r="F88" s="8" t="s">
        <v>671</v>
      </c>
      <c r="G88" s="7">
        <v>48900000</v>
      </c>
      <c r="H88" s="7">
        <v>48810000</v>
      </c>
      <c r="I88" s="7" t="s">
        <v>672</v>
      </c>
      <c r="J88" s="7" t="s">
        <v>673</v>
      </c>
      <c r="K88" s="7" t="s">
        <v>674</v>
      </c>
      <c r="L88" s="7">
        <v>0.60019999999999996</v>
      </c>
      <c r="M88" s="7">
        <v>0.50629999999999997</v>
      </c>
      <c r="N88" s="7">
        <v>0.2</v>
      </c>
      <c r="O88" s="7">
        <v>0.98860000000000003</v>
      </c>
      <c r="P88" s="7">
        <v>5.0700000000000002E-2</v>
      </c>
      <c r="Q88" s="9" t="s">
        <v>675</v>
      </c>
      <c r="R88" s="9" t="s">
        <v>676</v>
      </c>
      <c r="S88" s="7"/>
      <c r="T88" s="7"/>
      <c r="V88" s="5" t="str">
        <f t="shared" si="2"/>
        <v/>
      </c>
      <c r="W88" s="6"/>
    </row>
    <row r="89" spans="1:23" ht="36" x14ac:dyDescent="0.3">
      <c r="A89" s="7" t="s">
        <v>677</v>
      </c>
      <c r="B89" s="7">
        <v>1</v>
      </c>
      <c r="C89" s="7" t="s">
        <v>41</v>
      </c>
      <c r="D89" s="7" t="s">
        <v>41</v>
      </c>
      <c r="E89" s="8" t="s">
        <v>678</v>
      </c>
      <c r="F89" s="8" t="s">
        <v>679</v>
      </c>
      <c r="G89" s="7">
        <v>48450000</v>
      </c>
      <c r="H89" s="7">
        <v>48450000</v>
      </c>
      <c r="I89" s="7" t="s">
        <v>680</v>
      </c>
      <c r="J89" s="7" t="s">
        <v>477</v>
      </c>
      <c r="K89" s="7" t="s">
        <v>681</v>
      </c>
      <c r="L89" s="7">
        <v>0.75060000000000004</v>
      </c>
      <c r="M89" s="7">
        <v>0.50539999999999996</v>
      </c>
      <c r="N89" s="7">
        <v>1</v>
      </c>
      <c r="O89" s="7">
        <v>0.74229999999999996</v>
      </c>
      <c r="P89" s="7">
        <v>0.24160000000000001</v>
      </c>
      <c r="Q89" s="9" t="s">
        <v>682</v>
      </c>
      <c r="R89" s="9" t="s">
        <v>683</v>
      </c>
      <c r="S89" s="7"/>
      <c r="T89" s="7"/>
      <c r="V89" s="5" t="str">
        <f t="shared" si="2"/>
        <v/>
      </c>
      <c r="W89" s="6"/>
    </row>
    <row r="90" spans="1:23" ht="24" x14ac:dyDescent="0.3">
      <c r="A90" s="7" t="s">
        <v>684</v>
      </c>
      <c r="B90" s="7">
        <v>1</v>
      </c>
      <c r="C90" s="7" t="s">
        <v>631</v>
      </c>
      <c r="D90" s="7" t="s">
        <v>631</v>
      </c>
      <c r="E90" s="8" t="s">
        <v>685</v>
      </c>
      <c r="F90" s="8" t="s">
        <v>686</v>
      </c>
      <c r="G90" s="7">
        <v>72150000</v>
      </c>
      <c r="H90" s="7">
        <v>72500000</v>
      </c>
      <c r="I90" s="7" t="s">
        <v>687</v>
      </c>
      <c r="J90" s="7" t="s">
        <v>688</v>
      </c>
      <c r="K90" s="7" t="s">
        <v>590</v>
      </c>
      <c r="L90" s="7">
        <v>0.45269999999999999</v>
      </c>
      <c r="M90" s="7">
        <v>0.41199999999999998</v>
      </c>
      <c r="N90" s="7">
        <v>0.2</v>
      </c>
      <c r="O90" s="7">
        <v>0.43959999999999999</v>
      </c>
      <c r="P90" s="7"/>
      <c r="Q90" s="9" t="s">
        <v>689</v>
      </c>
      <c r="R90" s="9" t="s">
        <v>690</v>
      </c>
      <c r="S90" s="7"/>
      <c r="T90" s="7"/>
      <c r="V90" s="5" t="str">
        <f t="shared" si="2"/>
        <v/>
      </c>
      <c r="W90" s="6"/>
    </row>
    <row r="91" spans="1:23" ht="48" x14ac:dyDescent="0.3">
      <c r="A91" s="2" t="s">
        <v>691</v>
      </c>
      <c r="B91" s="2">
        <v>0</v>
      </c>
      <c r="C91" s="2" t="s">
        <v>692</v>
      </c>
      <c r="D91" s="2"/>
      <c r="E91" s="3" t="s">
        <v>693</v>
      </c>
      <c r="F91" s="3"/>
      <c r="G91" s="2">
        <v>72</v>
      </c>
      <c r="H91" s="2"/>
      <c r="I91" s="2" t="s">
        <v>694</v>
      </c>
      <c r="J91" s="2" t="s">
        <v>695</v>
      </c>
      <c r="K91" s="2"/>
      <c r="L91" s="2"/>
      <c r="M91" s="2"/>
      <c r="N91" s="2"/>
      <c r="O91" s="2"/>
      <c r="P91" s="2"/>
      <c r="Q91" s="4" t="s">
        <v>696</v>
      </c>
      <c r="R91" s="2"/>
      <c r="S91" s="2"/>
      <c r="T91" s="2"/>
      <c r="V91" s="5" t="str">
        <f t="shared" si="2"/>
        <v/>
      </c>
      <c r="W91" s="6"/>
    </row>
    <row r="92" spans="1:23" ht="24" x14ac:dyDescent="0.3">
      <c r="A92" s="2" t="s">
        <v>697</v>
      </c>
      <c r="B92" s="2">
        <v>0</v>
      </c>
      <c r="C92" s="2" t="s">
        <v>698</v>
      </c>
      <c r="D92" s="2"/>
      <c r="E92" s="3" t="s">
        <v>699</v>
      </c>
      <c r="F92" s="3"/>
      <c r="G92" s="2">
        <v>45</v>
      </c>
      <c r="H92" s="2"/>
      <c r="I92" s="2" t="s">
        <v>700</v>
      </c>
      <c r="J92" s="2" t="s">
        <v>701</v>
      </c>
      <c r="K92" s="2"/>
      <c r="L92" s="2"/>
      <c r="M92" s="2"/>
      <c r="N92" s="2"/>
      <c r="O92" s="2"/>
      <c r="P92" s="2"/>
      <c r="Q92" s="4" t="s">
        <v>702</v>
      </c>
      <c r="R92" s="2"/>
      <c r="S92" s="2"/>
      <c r="T92" s="2"/>
      <c r="V92" s="5" t="str">
        <f t="shared" si="2"/>
        <v/>
      </c>
      <c r="W92" s="6"/>
    </row>
    <row r="93" spans="1:23" ht="48" x14ac:dyDescent="0.3">
      <c r="A93" s="7" t="s">
        <v>703</v>
      </c>
      <c r="B93" s="7">
        <v>1</v>
      </c>
      <c r="C93" s="7" t="s">
        <v>704</v>
      </c>
      <c r="D93" s="7" t="s">
        <v>704</v>
      </c>
      <c r="E93" s="8" t="s">
        <v>705</v>
      </c>
      <c r="F93" s="8" t="s">
        <v>706</v>
      </c>
      <c r="G93" s="7">
        <v>48900000</v>
      </c>
      <c r="H93" s="7">
        <v>32000000</v>
      </c>
      <c r="I93" s="7" t="s">
        <v>707</v>
      </c>
      <c r="J93" s="7" t="s">
        <v>708</v>
      </c>
      <c r="K93" s="7" t="s">
        <v>709</v>
      </c>
      <c r="L93" s="7">
        <v>0.42099999999999999</v>
      </c>
      <c r="M93" s="7">
        <v>0.23749999999999999</v>
      </c>
      <c r="N93" s="7">
        <v>0</v>
      </c>
      <c r="O93" s="7">
        <v>0.87990000000000002</v>
      </c>
      <c r="P93" s="7">
        <v>8.0199999999999994E-2</v>
      </c>
      <c r="Q93" s="9" t="s">
        <v>710</v>
      </c>
      <c r="R93" s="9" t="s">
        <v>711</v>
      </c>
      <c r="S93" s="7"/>
      <c r="T93" s="7"/>
      <c r="V93" s="5" t="str">
        <f t="shared" si="2"/>
        <v/>
      </c>
      <c r="W93" s="6"/>
    </row>
    <row r="94" spans="1:23" ht="24" x14ac:dyDescent="0.3">
      <c r="A94" s="2" t="s">
        <v>712</v>
      </c>
      <c r="B94" s="2">
        <v>0</v>
      </c>
      <c r="C94" s="2" t="s">
        <v>713</v>
      </c>
      <c r="D94" s="2"/>
      <c r="E94" s="3" t="s">
        <v>714</v>
      </c>
      <c r="F94" s="3"/>
      <c r="G94" s="2">
        <v>72</v>
      </c>
      <c r="H94" s="2"/>
      <c r="I94" s="2" t="s">
        <v>715</v>
      </c>
      <c r="J94" s="2" t="s">
        <v>716</v>
      </c>
      <c r="K94" s="2"/>
      <c r="L94" s="2"/>
      <c r="M94" s="2"/>
      <c r="N94" s="2"/>
      <c r="O94" s="2"/>
      <c r="P94" s="2"/>
      <c r="Q94" s="4" t="s">
        <v>717</v>
      </c>
      <c r="R94" s="2"/>
      <c r="S94" s="2"/>
      <c r="T94" s="2"/>
      <c r="V94" s="5" t="str">
        <f t="shared" si="2"/>
        <v/>
      </c>
      <c r="W94" s="6"/>
    </row>
    <row r="95" spans="1:23" ht="36" x14ac:dyDescent="0.3">
      <c r="A95" s="7" t="s">
        <v>718</v>
      </c>
      <c r="B95" s="7">
        <v>1</v>
      </c>
      <c r="C95" s="7" t="s">
        <v>32</v>
      </c>
      <c r="D95" s="7" t="s">
        <v>32</v>
      </c>
      <c r="E95" s="8" t="s">
        <v>719</v>
      </c>
      <c r="F95" s="8" t="s">
        <v>720</v>
      </c>
      <c r="G95" s="7">
        <v>32322000</v>
      </c>
      <c r="H95" s="7">
        <v>32321300</v>
      </c>
      <c r="I95" s="7" t="s">
        <v>721</v>
      </c>
      <c r="J95" s="7" t="s">
        <v>722</v>
      </c>
      <c r="K95" s="7" t="s">
        <v>723</v>
      </c>
      <c r="L95" s="7">
        <v>0.66359999999999997</v>
      </c>
      <c r="M95" s="7">
        <v>0.42780000000000001</v>
      </c>
      <c r="N95" s="7">
        <v>0.6</v>
      </c>
      <c r="O95" s="7">
        <v>0.96240000000000003</v>
      </c>
      <c r="P95" s="7">
        <v>0.11940000000000001</v>
      </c>
      <c r="Q95" s="9" t="s">
        <v>724</v>
      </c>
      <c r="R95" s="9" t="s">
        <v>725</v>
      </c>
      <c r="S95" s="7"/>
      <c r="T95" s="7"/>
      <c r="V95" s="5" t="str">
        <f t="shared" si="2"/>
        <v/>
      </c>
      <c r="W95" s="6"/>
    </row>
    <row r="96" spans="1:23" x14ac:dyDescent="0.3">
      <c r="A96" s="7" t="s">
        <v>726</v>
      </c>
      <c r="B96" s="7">
        <v>1</v>
      </c>
      <c r="C96" s="7" t="s">
        <v>727</v>
      </c>
      <c r="D96" s="7" t="s">
        <v>727</v>
      </c>
      <c r="E96" s="8" t="s">
        <v>728</v>
      </c>
      <c r="F96" s="8" t="s">
        <v>728</v>
      </c>
      <c r="G96" s="7">
        <v>45214800</v>
      </c>
      <c r="H96" s="7">
        <v>45214800</v>
      </c>
      <c r="I96" s="7" t="s">
        <v>729</v>
      </c>
      <c r="J96" s="7" t="s">
        <v>730</v>
      </c>
      <c r="K96" s="7" t="s">
        <v>731</v>
      </c>
      <c r="L96" s="7">
        <v>0.86639999999999995</v>
      </c>
      <c r="M96" s="7">
        <v>1</v>
      </c>
      <c r="N96" s="7">
        <v>1</v>
      </c>
      <c r="O96" s="7">
        <v>0.3322</v>
      </c>
      <c r="P96" s="7">
        <v>0.34100000000000003</v>
      </c>
      <c r="Q96" s="9" t="s">
        <v>732</v>
      </c>
      <c r="R96" s="9" t="s">
        <v>733</v>
      </c>
      <c r="S96" s="7"/>
      <c r="T96" s="7"/>
      <c r="V96" s="5" t="str">
        <f t="shared" si="2"/>
        <v/>
      </c>
      <c r="W96" s="6"/>
    </row>
    <row r="97" spans="1:23" ht="36" x14ac:dyDescent="0.3">
      <c r="A97" s="2" t="s">
        <v>734</v>
      </c>
      <c r="B97" s="2">
        <v>0</v>
      </c>
      <c r="C97" s="2" t="s">
        <v>735</v>
      </c>
      <c r="D97" s="2"/>
      <c r="E97" s="3" t="s">
        <v>736</v>
      </c>
      <c r="F97" s="3"/>
      <c r="G97" s="2">
        <v>32</v>
      </c>
      <c r="H97" s="2"/>
      <c r="I97" s="2" t="s">
        <v>737</v>
      </c>
      <c r="J97" s="2" t="s">
        <v>738</v>
      </c>
      <c r="K97" s="2"/>
      <c r="L97" s="2"/>
      <c r="M97" s="2"/>
      <c r="N97" s="2"/>
      <c r="O97" s="2"/>
      <c r="P97" s="2"/>
      <c r="Q97" s="4" t="s">
        <v>739</v>
      </c>
      <c r="R97" s="2"/>
      <c r="S97" s="2"/>
      <c r="T97" s="2"/>
      <c r="V97" s="5" t="str">
        <f t="shared" si="2"/>
        <v/>
      </c>
      <c r="W97" s="6"/>
    </row>
    <row r="98" spans="1:23" x14ac:dyDescent="0.3">
      <c r="A98" s="7" t="s">
        <v>740</v>
      </c>
      <c r="B98" s="7">
        <v>1</v>
      </c>
      <c r="C98" s="7" t="s">
        <v>32</v>
      </c>
      <c r="D98" s="7" t="s">
        <v>32</v>
      </c>
      <c r="E98" s="8" t="s">
        <v>741</v>
      </c>
      <c r="F98" s="8" t="s">
        <v>742</v>
      </c>
      <c r="G98" s="7">
        <v>72212200</v>
      </c>
      <c r="H98" s="7">
        <v>72212300</v>
      </c>
      <c r="I98" s="7" t="s">
        <v>743</v>
      </c>
      <c r="J98" s="7" t="s">
        <v>744</v>
      </c>
      <c r="K98" s="7" t="s">
        <v>745</v>
      </c>
      <c r="L98" s="7">
        <v>0.70040000000000002</v>
      </c>
      <c r="M98" s="7">
        <v>0.43380000000000002</v>
      </c>
      <c r="N98" s="7">
        <v>0.8</v>
      </c>
      <c r="O98" s="7">
        <v>0.88429999999999997</v>
      </c>
      <c r="P98" s="7">
        <v>0.16139999999999999</v>
      </c>
      <c r="Q98" s="9" t="s">
        <v>746</v>
      </c>
      <c r="R98" s="9" t="s">
        <v>747</v>
      </c>
      <c r="S98" s="7"/>
      <c r="T98" s="7"/>
      <c r="V98" s="5" t="str">
        <f t="shared" ref="V98:V129" si="3">IF(U98="credible_renewal","true_positive",IF(U98="not_credible_false_positive","false_positive",IF(U98="plausible_censored","true_negative_or_plausible_censored",IF(U98="missed_renewal_false_negative","false_negative",IF(OR(U98="doubtful_but_possible",U98="impossible_to_judge"),"not_applicable","")))))</f>
        <v/>
      </c>
      <c r="W98" s="6"/>
    </row>
    <row r="99" spans="1:23" ht="24" x14ac:dyDescent="0.3">
      <c r="A99" s="7" t="s">
        <v>748</v>
      </c>
      <c r="B99" s="7">
        <v>1</v>
      </c>
      <c r="C99" s="7" t="s">
        <v>343</v>
      </c>
      <c r="D99" s="7" t="s">
        <v>343</v>
      </c>
      <c r="E99" s="8" t="s">
        <v>749</v>
      </c>
      <c r="F99" s="8" t="s">
        <v>344</v>
      </c>
      <c r="G99" s="7">
        <v>35261000</v>
      </c>
      <c r="H99" s="7">
        <v>35261000</v>
      </c>
      <c r="I99" s="7" t="s">
        <v>750</v>
      </c>
      <c r="J99" s="7" t="s">
        <v>751</v>
      </c>
      <c r="K99" s="7" t="s">
        <v>116</v>
      </c>
      <c r="L99" s="7">
        <v>0.70299999999999996</v>
      </c>
      <c r="M99" s="7">
        <v>0.43109999999999998</v>
      </c>
      <c r="N99" s="7">
        <v>1</v>
      </c>
      <c r="O99" s="7">
        <v>0.65310000000000001</v>
      </c>
      <c r="P99" s="7">
        <v>0.25109999999999999</v>
      </c>
      <c r="Q99" s="9" t="s">
        <v>752</v>
      </c>
      <c r="R99" s="9" t="s">
        <v>348</v>
      </c>
      <c r="S99" s="7"/>
      <c r="T99" s="7"/>
      <c r="V99" s="5" t="str">
        <f t="shared" si="3"/>
        <v/>
      </c>
      <c r="W99" s="6"/>
    </row>
    <row r="100" spans="1:23" ht="24" x14ac:dyDescent="0.3">
      <c r="A100" s="7" t="s">
        <v>753</v>
      </c>
      <c r="B100" s="7">
        <v>1</v>
      </c>
      <c r="C100" s="7" t="s">
        <v>244</v>
      </c>
      <c r="D100" s="7" t="s">
        <v>244</v>
      </c>
      <c r="E100" s="8" t="s">
        <v>754</v>
      </c>
      <c r="F100" s="8" t="s">
        <v>755</v>
      </c>
      <c r="G100" s="7">
        <v>32500000</v>
      </c>
      <c r="H100" s="7">
        <v>32230000</v>
      </c>
      <c r="I100" s="7" t="s">
        <v>756</v>
      </c>
      <c r="J100" s="7" t="s">
        <v>757</v>
      </c>
      <c r="K100" s="7" t="s">
        <v>758</v>
      </c>
      <c r="L100" s="7">
        <v>0.44190000000000002</v>
      </c>
      <c r="M100" s="7">
        <v>0.39389999999999997</v>
      </c>
      <c r="N100" s="7">
        <v>0.2</v>
      </c>
      <c r="O100" s="7">
        <v>0.42199999999999999</v>
      </c>
      <c r="P100" s="7">
        <v>1.8E-3</v>
      </c>
      <c r="Q100" s="9" t="s">
        <v>759</v>
      </c>
      <c r="R100" s="9" t="s">
        <v>760</v>
      </c>
      <c r="S100" s="7"/>
      <c r="T100" s="7"/>
      <c r="V100" s="5" t="str">
        <f t="shared" si="3"/>
        <v/>
      </c>
      <c r="W100" s="6"/>
    </row>
    <row r="101" spans="1:23" ht="24" x14ac:dyDescent="0.3">
      <c r="A101" s="7" t="s">
        <v>761</v>
      </c>
      <c r="B101" s="7">
        <v>1</v>
      </c>
      <c r="C101" s="7" t="s">
        <v>762</v>
      </c>
      <c r="D101" s="7" t="s">
        <v>762</v>
      </c>
      <c r="E101" s="8" t="s">
        <v>763</v>
      </c>
      <c r="F101" s="8" t="s">
        <v>764</v>
      </c>
      <c r="G101" s="7">
        <v>32400000</v>
      </c>
      <c r="H101" s="7">
        <v>32323500</v>
      </c>
      <c r="I101" s="7" t="s">
        <v>765</v>
      </c>
      <c r="J101" s="7" t="s">
        <v>766</v>
      </c>
      <c r="K101" s="7" t="s">
        <v>767</v>
      </c>
      <c r="L101" s="7">
        <v>0.51480000000000004</v>
      </c>
      <c r="M101" s="7">
        <v>0.3584</v>
      </c>
      <c r="N101" s="7">
        <v>0.2</v>
      </c>
      <c r="O101" s="7">
        <v>0.85729999999999995</v>
      </c>
      <c r="P101" s="7">
        <v>9.1300000000000006E-2</v>
      </c>
      <c r="Q101" s="9" t="s">
        <v>768</v>
      </c>
      <c r="R101" s="9" t="s">
        <v>769</v>
      </c>
      <c r="S101" s="7"/>
      <c r="T101" s="7"/>
      <c r="V101" s="5" t="str">
        <f t="shared" si="3"/>
        <v/>
      </c>
      <c r="W101" s="6"/>
    </row>
    <row r="102" spans="1:23" ht="36" x14ac:dyDescent="0.3">
      <c r="A102" s="7" t="s">
        <v>770</v>
      </c>
      <c r="B102" s="7">
        <v>1</v>
      </c>
      <c r="C102" s="7" t="s">
        <v>32</v>
      </c>
      <c r="D102" s="7" t="s">
        <v>32</v>
      </c>
      <c r="E102" s="8" t="s">
        <v>771</v>
      </c>
      <c r="F102" s="8" t="s">
        <v>772</v>
      </c>
      <c r="G102" s="7">
        <v>48800000</v>
      </c>
      <c r="H102" s="7">
        <v>48800000</v>
      </c>
      <c r="I102" s="7" t="s">
        <v>773</v>
      </c>
      <c r="J102" s="7" t="s">
        <v>774</v>
      </c>
      <c r="K102" s="7" t="s">
        <v>775</v>
      </c>
      <c r="L102" s="7">
        <v>0.76929999999999998</v>
      </c>
      <c r="M102" s="7">
        <v>0.61660000000000004</v>
      </c>
      <c r="N102" s="7">
        <v>1</v>
      </c>
      <c r="O102" s="7">
        <v>0.61319999999999997</v>
      </c>
      <c r="P102" s="7">
        <v>0.15049999999999999</v>
      </c>
      <c r="Q102" s="9" t="s">
        <v>776</v>
      </c>
      <c r="R102" s="9" t="s">
        <v>777</v>
      </c>
      <c r="S102" s="7"/>
      <c r="T102" s="7"/>
      <c r="V102" s="5" t="str">
        <f t="shared" si="3"/>
        <v/>
      </c>
      <c r="W102" s="6"/>
    </row>
    <row r="103" spans="1:23" ht="36" x14ac:dyDescent="0.3">
      <c r="A103" s="7" t="s">
        <v>778</v>
      </c>
      <c r="B103" s="7">
        <v>1</v>
      </c>
      <c r="C103" s="7" t="s">
        <v>334</v>
      </c>
      <c r="D103" s="7" t="s">
        <v>334</v>
      </c>
      <c r="E103" s="8" t="s">
        <v>779</v>
      </c>
      <c r="F103" s="8" t="s">
        <v>780</v>
      </c>
      <c r="G103" s="7">
        <v>72611000</v>
      </c>
      <c r="H103" s="7">
        <v>72611000</v>
      </c>
      <c r="I103" s="7" t="s">
        <v>781</v>
      </c>
      <c r="J103" s="7" t="s">
        <v>782</v>
      </c>
      <c r="K103" s="7" t="s">
        <v>641</v>
      </c>
      <c r="L103" s="7">
        <v>0.85150000000000003</v>
      </c>
      <c r="M103" s="7">
        <v>0.7641</v>
      </c>
      <c r="N103" s="7">
        <v>1</v>
      </c>
      <c r="O103" s="7">
        <v>0.72929999999999995</v>
      </c>
      <c r="P103" s="7">
        <v>8.5900000000000004E-2</v>
      </c>
      <c r="Q103" s="9" t="s">
        <v>783</v>
      </c>
      <c r="R103" s="9" t="s">
        <v>784</v>
      </c>
      <c r="S103" s="7"/>
      <c r="T103" s="7"/>
      <c r="V103" s="5" t="str">
        <f t="shared" si="3"/>
        <v/>
      </c>
      <c r="W103" s="6"/>
    </row>
    <row r="104" spans="1:23" ht="36" x14ac:dyDescent="0.3">
      <c r="A104" s="7" t="s">
        <v>785</v>
      </c>
      <c r="B104" s="7">
        <v>1</v>
      </c>
      <c r="C104" s="7" t="s">
        <v>128</v>
      </c>
      <c r="D104" s="7" t="s">
        <v>128</v>
      </c>
      <c r="E104" s="8" t="s">
        <v>786</v>
      </c>
      <c r="F104" s="8" t="s">
        <v>787</v>
      </c>
      <c r="G104" s="7">
        <v>48000000</v>
      </c>
      <c r="H104" s="7">
        <v>48000000</v>
      </c>
      <c r="I104" s="7" t="s">
        <v>788</v>
      </c>
      <c r="J104" s="7" t="s">
        <v>29</v>
      </c>
      <c r="K104" s="7" t="s">
        <v>789</v>
      </c>
      <c r="L104" s="7">
        <v>0.56110000000000004</v>
      </c>
      <c r="M104" s="7">
        <v>0.4299</v>
      </c>
      <c r="N104" s="7">
        <v>0.2</v>
      </c>
      <c r="O104" s="7">
        <v>0.9456</v>
      </c>
      <c r="P104" s="7">
        <v>1.6000000000000001E-3</v>
      </c>
      <c r="Q104" s="9" t="s">
        <v>790</v>
      </c>
      <c r="R104" s="9" t="s">
        <v>791</v>
      </c>
      <c r="S104" s="7"/>
      <c r="T104" s="7"/>
      <c r="V104" s="5" t="str">
        <f t="shared" si="3"/>
        <v/>
      </c>
      <c r="W104" s="6"/>
    </row>
    <row r="105" spans="1:23" ht="24" x14ac:dyDescent="0.3">
      <c r="A105" s="2" t="s">
        <v>792</v>
      </c>
      <c r="B105" s="2">
        <v>0</v>
      </c>
      <c r="C105" s="2" t="s">
        <v>511</v>
      </c>
      <c r="D105" s="2"/>
      <c r="E105" s="3" t="s">
        <v>512</v>
      </c>
      <c r="F105" s="3"/>
      <c r="G105" s="2">
        <v>72</v>
      </c>
      <c r="H105" s="2"/>
      <c r="I105" s="2" t="s">
        <v>515</v>
      </c>
      <c r="J105" s="2" t="s">
        <v>793</v>
      </c>
      <c r="K105" s="2"/>
      <c r="L105" s="2"/>
      <c r="M105" s="2"/>
      <c r="N105" s="2"/>
      <c r="O105" s="2"/>
      <c r="P105" s="2"/>
      <c r="Q105" s="4" t="s">
        <v>517</v>
      </c>
      <c r="R105" s="2"/>
      <c r="S105" s="2" t="s">
        <v>794</v>
      </c>
      <c r="T105" s="2" t="s">
        <v>795</v>
      </c>
      <c r="V105" s="5" t="str">
        <f t="shared" si="3"/>
        <v/>
      </c>
      <c r="W105" s="6"/>
    </row>
    <row r="106" spans="1:23" ht="48" x14ac:dyDescent="0.3">
      <c r="A106" s="7" t="s">
        <v>796</v>
      </c>
      <c r="B106" s="7">
        <v>1</v>
      </c>
      <c r="C106" s="7" t="s">
        <v>797</v>
      </c>
      <c r="D106" s="7" t="s">
        <v>797</v>
      </c>
      <c r="E106" s="8" t="s">
        <v>798</v>
      </c>
      <c r="F106" s="8" t="s">
        <v>799</v>
      </c>
      <c r="G106" s="7"/>
      <c r="H106" s="7">
        <v>48481000</v>
      </c>
      <c r="I106" s="7" t="s">
        <v>800</v>
      </c>
      <c r="J106" s="7" t="s">
        <v>801</v>
      </c>
      <c r="K106" s="7" t="s">
        <v>802</v>
      </c>
      <c r="L106" s="7">
        <v>0.52649999999999997</v>
      </c>
      <c r="M106" s="7">
        <v>0.38750000000000001</v>
      </c>
      <c r="N106" s="7"/>
      <c r="O106" s="7">
        <v>0.44940000000000002</v>
      </c>
      <c r="P106" s="7">
        <v>0.14369999999999999</v>
      </c>
      <c r="Q106" s="9" t="s">
        <v>803</v>
      </c>
      <c r="R106" s="9" t="s">
        <v>804</v>
      </c>
      <c r="S106" s="7"/>
      <c r="T106" s="7"/>
      <c r="V106" s="5" t="str">
        <f t="shared" si="3"/>
        <v/>
      </c>
      <c r="W106" s="6"/>
    </row>
    <row r="107" spans="1:23" ht="36" x14ac:dyDescent="0.3">
      <c r="A107" s="7" t="s">
        <v>805</v>
      </c>
      <c r="B107" s="7">
        <v>1</v>
      </c>
      <c r="C107" s="7" t="s">
        <v>128</v>
      </c>
      <c r="D107" s="7" t="s">
        <v>128</v>
      </c>
      <c r="E107" s="8" t="s">
        <v>806</v>
      </c>
      <c r="F107" s="8" t="s">
        <v>807</v>
      </c>
      <c r="G107" s="7">
        <v>72250000</v>
      </c>
      <c r="H107" s="7">
        <v>72250000</v>
      </c>
      <c r="I107" s="7" t="s">
        <v>808</v>
      </c>
      <c r="J107" s="7" t="s">
        <v>809</v>
      </c>
      <c r="K107" s="7" t="s">
        <v>810</v>
      </c>
      <c r="L107" s="7">
        <v>0.85409999999999997</v>
      </c>
      <c r="M107" s="7">
        <v>0.71319999999999995</v>
      </c>
      <c r="N107" s="7">
        <v>1</v>
      </c>
      <c r="O107" s="7">
        <v>0.84430000000000005</v>
      </c>
      <c r="P107" s="7">
        <v>5.7700000000000001E-2</v>
      </c>
      <c r="Q107" s="9" t="s">
        <v>811</v>
      </c>
      <c r="R107" s="9" t="s">
        <v>812</v>
      </c>
      <c r="S107" s="7"/>
      <c r="T107" s="7"/>
      <c r="V107" s="5" t="str">
        <f t="shared" si="3"/>
        <v/>
      </c>
      <c r="W107" s="6"/>
    </row>
    <row r="108" spans="1:23" x14ac:dyDescent="0.3">
      <c r="A108" s="7" t="s">
        <v>813</v>
      </c>
      <c r="B108" s="7">
        <v>1</v>
      </c>
      <c r="C108" s="7" t="s">
        <v>814</v>
      </c>
      <c r="D108" s="7" t="s">
        <v>814</v>
      </c>
      <c r="E108" s="8" t="s">
        <v>815</v>
      </c>
      <c r="F108" s="8" t="s">
        <v>816</v>
      </c>
      <c r="G108" s="7">
        <v>48000000</v>
      </c>
      <c r="H108" s="7">
        <v>72250000</v>
      </c>
      <c r="I108" s="7" t="s">
        <v>817</v>
      </c>
      <c r="J108" s="7" t="s">
        <v>818</v>
      </c>
      <c r="K108" s="7" t="s">
        <v>819</v>
      </c>
      <c r="L108" s="7">
        <v>0.56879999999999997</v>
      </c>
      <c r="M108" s="7">
        <v>0.64570000000000005</v>
      </c>
      <c r="N108" s="7">
        <v>0</v>
      </c>
      <c r="O108" s="7">
        <v>0.80259999999999998</v>
      </c>
      <c r="P108" s="7"/>
      <c r="Q108" s="9" t="s">
        <v>820</v>
      </c>
      <c r="R108" s="9" t="s">
        <v>821</v>
      </c>
      <c r="S108" s="7"/>
      <c r="T108" s="7"/>
      <c r="V108" s="5" t="str">
        <f t="shared" si="3"/>
        <v/>
      </c>
      <c r="W108" s="6"/>
    </row>
    <row r="109" spans="1:23" x14ac:dyDescent="0.3">
      <c r="A109" s="2" t="s">
        <v>822</v>
      </c>
      <c r="B109" s="2">
        <v>0</v>
      </c>
      <c r="C109" s="2" t="s">
        <v>823</v>
      </c>
      <c r="D109" s="2"/>
      <c r="E109" s="3" t="s">
        <v>824</v>
      </c>
      <c r="F109" s="3"/>
      <c r="G109" s="2"/>
      <c r="H109" s="2"/>
      <c r="I109" s="2" t="s">
        <v>825</v>
      </c>
      <c r="J109" s="2" t="s">
        <v>826</v>
      </c>
      <c r="K109" s="2"/>
      <c r="L109" s="2"/>
      <c r="M109" s="2"/>
      <c r="N109" s="2"/>
      <c r="O109" s="2"/>
      <c r="P109" s="2"/>
      <c r="Q109" s="4" t="s">
        <v>827</v>
      </c>
      <c r="R109" s="2"/>
      <c r="S109" s="2"/>
      <c r="T109" s="2"/>
      <c r="V109" s="5" t="str">
        <f t="shared" si="3"/>
        <v/>
      </c>
      <c r="W109" s="6"/>
    </row>
    <row r="110" spans="1:23" ht="48" x14ac:dyDescent="0.3">
      <c r="A110" s="7" t="s">
        <v>828</v>
      </c>
      <c r="B110" s="7">
        <v>1</v>
      </c>
      <c r="C110" s="7" t="s">
        <v>527</v>
      </c>
      <c r="D110" s="7" t="s">
        <v>527</v>
      </c>
      <c r="E110" s="8" t="s">
        <v>829</v>
      </c>
      <c r="F110" s="8" t="s">
        <v>830</v>
      </c>
      <c r="G110" s="7">
        <v>72314000</v>
      </c>
      <c r="H110" s="7">
        <v>72314000</v>
      </c>
      <c r="I110" s="7" t="s">
        <v>831</v>
      </c>
      <c r="J110" s="7" t="s">
        <v>832</v>
      </c>
      <c r="K110" s="7" t="s">
        <v>286</v>
      </c>
      <c r="L110" s="7">
        <v>0.93440000000000001</v>
      </c>
      <c r="M110" s="7">
        <v>0.88690000000000002</v>
      </c>
      <c r="N110" s="7">
        <v>1</v>
      </c>
      <c r="O110" s="7">
        <v>0.89839999999999998</v>
      </c>
      <c r="P110" s="7">
        <v>0.3004</v>
      </c>
      <c r="Q110" s="9" t="s">
        <v>833</v>
      </c>
      <c r="R110" s="9" t="s">
        <v>834</v>
      </c>
      <c r="S110" s="7"/>
      <c r="T110" s="7"/>
      <c r="V110" s="5" t="str">
        <f t="shared" si="3"/>
        <v/>
      </c>
      <c r="W110" s="6"/>
    </row>
    <row r="111" spans="1:23" ht="36" x14ac:dyDescent="0.3">
      <c r="A111" s="2" t="s">
        <v>835</v>
      </c>
      <c r="B111" s="2">
        <v>0</v>
      </c>
      <c r="C111" s="2" t="s">
        <v>836</v>
      </c>
      <c r="D111" s="2"/>
      <c r="E111" s="3" t="s">
        <v>837</v>
      </c>
      <c r="F111" s="3"/>
      <c r="G111" s="2">
        <v>48</v>
      </c>
      <c r="H111" s="2"/>
      <c r="I111" s="2" t="s">
        <v>838</v>
      </c>
      <c r="J111" s="2" t="s">
        <v>839</v>
      </c>
      <c r="K111" s="2"/>
      <c r="L111" s="2"/>
      <c r="M111" s="2"/>
      <c r="N111" s="2"/>
      <c r="O111" s="2"/>
      <c r="P111" s="2"/>
      <c r="Q111" s="4" t="s">
        <v>840</v>
      </c>
      <c r="R111" s="2"/>
      <c r="S111" s="2"/>
      <c r="T111" s="2"/>
      <c r="V111" s="5" t="str">
        <f t="shared" si="3"/>
        <v/>
      </c>
      <c r="W111" s="6"/>
    </row>
    <row r="112" spans="1:23" ht="24" x14ac:dyDescent="0.3">
      <c r="A112" s="7" t="s">
        <v>841</v>
      </c>
      <c r="B112" s="7">
        <v>1</v>
      </c>
      <c r="C112" s="7" t="s">
        <v>361</v>
      </c>
      <c r="D112" s="7" t="s">
        <v>361</v>
      </c>
      <c r="E112" s="8" t="s">
        <v>842</v>
      </c>
      <c r="F112" s="8" t="s">
        <v>843</v>
      </c>
      <c r="G112" s="7"/>
      <c r="H112" s="7">
        <v>32400000</v>
      </c>
      <c r="I112" s="7" t="s">
        <v>52</v>
      </c>
      <c r="J112" s="7" t="s">
        <v>844</v>
      </c>
      <c r="K112" s="7" t="s">
        <v>845</v>
      </c>
      <c r="L112" s="7">
        <v>0.51549999999999996</v>
      </c>
      <c r="M112" s="7">
        <v>0.29039999999999999</v>
      </c>
      <c r="N112" s="7"/>
      <c r="O112" s="7">
        <v>0.60229999999999995</v>
      </c>
      <c r="P112" s="7"/>
      <c r="Q112" s="9" t="s">
        <v>846</v>
      </c>
      <c r="R112" s="9" t="s">
        <v>847</v>
      </c>
      <c r="S112" s="7"/>
      <c r="T112" s="7"/>
      <c r="V112" s="5" t="str">
        <f t="shared" si="3"/>
        <v/>
      </c>
      <c r="W112" s="6"/>
    </row>
    <row r="113" spans="1:23" ht="36" x14ac:dyDescent="0.3">
      <c r="A113" s="7" t="s">
        <v>848</v>
      </c>
      <c r="B113" s="7">
        <v>1</v>
      </c>
      <c r="C113" s="7" t="s">
        <v>849</v>
      </c>
      <c r="D113" s="7" t="s">
        <v>849</v>
      </c>
      <c r="E113" s="8" t="s">
        <v>850</v>
      </c>
      <c r="F113" s="8" t="s">
        <v>851</v>
      </c>
      <c r="G113" s="7">
        <v>72220000</v>
      </c>
      <c r="H113" s="7">
        <v>72200000</v>
      </c>
      <c r="I113" s="7" t="s">
        <v>852</v>
      </c>
      <c r="J113" s="7" t="s">
        <v>853</v>
      </c>
      <c r="K113" s="7" t="s">
        <v>854</v>
      </c>
      <c r="L113" s="7">
        <v>0.54320000000000002</v>
      </c>
      <c r="M113" s="7">
        <v>0.36749999999999999</v>
      </c>
      <c r="N113" s="7">
        <v>0.4</v>
      </c>
      <c r="O113" s="7">
        <v>0.73089999999999999</v>
      </c>
      <c r="P113" s="7">
        <v>2.5899999999999999E-2</v>
      </c>
      <c r="Q113" s="9" t="s">
        <v>855</v>
      </c>
      <c r="R113" s="9" t="s">
        <v>856</v>
      </c>
      <c r="S113" s="7"/>
      <c r="T113" s="7"/>
      <c r="V113" s="5" t="str">
        <f t="shared" si="3"/>
        <v/>
      </c>
      <c r="W113" s="6"/>
    </row>
    <row r="114" spans="1:23" ht="24" x14ac:dyDescent="0.3">
      <c r="A114" s="7" t="s">
        <v>857</v>
      </c>
      <c r="B114" s="7">
        <v>1</v>
      </c>
      <c r="C114" s="7" t="s">
        <v>858</v>
      </c>
      <c r="D114" s="7" t="s">
        <v>858</v>
      </c>
      <c r="E114" s="8" t="s">
        <v>859</v>
      </c>
      <c r="F114" s="8" t="s">
        <v>860</v>
      </c>
      <c r="G114" s="7">
        <v>72700000</v>
      </c>
      <c r="H114" s="7">
        <v>45212350</v>
      </c>
      <c r="I114" s="7" t="s">
        <v>861</v>
      </c>
      <c r="J114" s="7" t="s">
        <v>862</v>
      </c>
      <c r="K114" s="7" t="s">
        <v>863</v>
      </c>
      <c r="L114" s="7">
        <v>0.4824</v>
      </c>
      <c r="M114" s="7">
        <v>0.4325</v>
      </c>
      <c r="N114" s="7">
        <v>0</v>
      </c>
      <c r="O114" s="7">
        <v>0.79710000000000003</v>
      </c>
      <c r="P114" s="7"/>
      <c r="Q114" s="9" t="s">
        <v>864</v>
      </c>
      <c r="R114" s="9" t="s">
        <v>865</v>
      </c>
      <c r="S114" s="7"/>
      <c r="T114" s="7"/>
      <c r="V114" s="5" t="str">
        <f t="shared" si="3"/>
        <v/>
      </c>
      <c r="W114" s="6"/>
    </row>
    <row r="115" spans="1:23" ht="36" x14ac:dyDescent="0.3">
      <c r="A115" s="7" t="s">
        <v>866</v>
      </c>
      <c r="B115" s="7">
        <v>1</v>
      </c>
      <c r="C115" s="7" t="s">
        <v>361</v>
      </c>
      <c r="D115" s="7" t="s">
        <v>361</v>
      </c>
      <c r="E115" s="8" t="s">
        <v>867</v>
      </c>
      <c r="F115" s="8" t="s">
        <v>868</v>
      </c>
      <c r="G115" s="7">
        <v>72210000</v>
      </c>
      <c r="H115" s="7">
        <v>48000000</v>
      </c>
      <c r="I115" s="7" t="s">
        <v>869</v>
      </c>
      <c r="J115" s="7" t="s">
        <v>870</v>
      </c>
      <c r="K115" s="7" t="s">
        <v>871</v>
      </c>
      <c r="L115" s="7">
        <v>0.38740000000000002</v>
      </c>
      <c r="M115" s="7">
        <v>0.21340000000000001</v>
      </c>
      <c r="N115" s="7">
        <v>0</v>
      </c>
      <c r="O115" s="7">
        <v>0.76</v>
      </c>
      <c r="P115" s="7">
        <v>0.1109</v>
      </c>
      <c r="Q115" s="9" t="s">
        <v>872</v>
      </c>
      <c r="R115" s="9" t="s">
        <v>873</v>
      </c>
      <c r="S115" s="7"/>
      <c r="T115" s="7"/>
      <c r="V115" s="5" t="str">
        <f t="shared" si="3"/>
        <v/>
      </c>
      <c r="W115" s="6"/>
    </row>
    <row r="116" spans="1:23" ht="24" x14ac:dyDescent="0.3">
      <c r="A116" s="7" t="s">
        <v>874</v>
      </c>
      <c r="B116" s="7">
        <v>1</v>
      </c>
      <c r="C116" s="7" t="s">
        <v>613</v>
      </c>
      <c r="D116" s="7" t="s">
        <v>72</v>
      </c>
      <c r="E116" s="8" t="s">
        <v>875</v>
      </c>
      <c r="F116" s="8" t="s">
        <v>876</v>
      </c>
      <c r="G116" s="7"/>
      <c r="H116" s="7">
        <v>48613000</v>
      </c>
      <c r="I116" s="7" t="s">
        <v>877</v>
      </c>
      <c r="J116" s="7" t="s">
        <v>878</v>
      </c>
      <c r="K116" s="7" t="s">
        <v>879</v>
      </c>
      <c r="L116" s="7">
        <v>0.43840000000000001</v>
      </c>
      <c r="M116" s="7">
        <v>0.35930000000000001</v>
      </c>
      <c r="N116" s="7"/>
      <c r="O116" s="7">
        <v>0.17560000000000001</v>
      </c>
      <c r="P116" s="7"/>
      <c r="Q116" s="9" t="s">
        <v>880</v>
      </c>
      <c r="R116" s="9" t="s">
        <v>881</v>
      </c>
      <c r="S116" s="7"/>
      <c r="T116" s="7"/>
      <c r="V116" s="5" t="str">
        <f t="shared" si="3"/>
        <v/>
      </c>
      <c r="W116" s="6"/>
    </row>
    <row r="117" spans="1:23" ht="24" x14ac:dyDescent="0.3">
      <c r="A117" s="7" t="s">
        <v>882</v>
      </c>
      <c r="B117" s="7">
        <v>1</v>
      </c>
      <c r="C117" s="7" t="s">
        <v>32</v>
      </c>
      <c r="D117" s="7" t="s">
        <v>32</v>
      </c>
      <c r="E117" s="8" t="s">
        <v>883</v>
      </c>
      <c r="F117" s="8" t="s">
        <v>884</v>
      </c>
      <c r="G117" s="7">
        <v>72250000</v>
      </c>
      <c r="H117" s="7">
        <v>72250000</v>
      </c>
      <c r="I117" s="7" t="s">
        <v>885</v>
      </c>
      <c r="J117" s="7" t="s">
        <v>886</v>
      </c>
      <c r="K117" s="7" t="s">
        <v>887</v>
      </c>
      <c r="L117" s="7">
        <v>0.64259999999999995</v>
      </c>
      <c r="M117" s="7">
        <v>0.20380000000000001</v>
      </c>
      <c r="N117" s="7">
        <v>1</v>
      </c>
      <c r="O117" s="7">
        <v>0.80530000000000002</v>
      </c>
      <c r="P117" s="7">
        <v>4.41E-2</v>
      </c>
      <c r="Q117" s="9" t="s">
        <v>888</v>
      </c>
      <c r="R117" s="9" t="s">
        <v>889</v>
      </c>
      <c r="S117" s="7"/>
      <c r="T117" s="7"/>
      <c r="V117" s="5" t="str">
        <f t="shared" si="3"/>
        <v/>
      </c>
      <c r="W117" s="6"/>
    </row>
    <row r="118" spans="1:23" x14ac:dyDescent="0.3">
      <c r="A118" s="2" t="s">
        <v>890</v>
      </c>
      <c r="B118" s="2">
        <v>0</v>
      </c>
      <c r="C118" s="2" t="s">
        <v>891</v>
      </c>
      <c r="D118" s="2"/>
      <c r="E118" s="3" t="s">
        <v>892</v>
      </c>
      <c r="F118" s="3"/>
      <c r="G118" s="2">
        <v>32</v>
      </c>
      <c r="H118" s="2"/>
      <c r="I118" s="2" t="s">
        <v>893</v>
      </c>
      <c r="J118" s="2" t="s">
        <v>388</v>
      </c>
      <c r="K118" s="2"/>
      <c r="L118" s="2"/>
      <c r="M118" s="2"/>
      <c r="N118" s="2"/>
      <c r="O118" s="2"/>
      <c r="P118" s="2"/>
      <c r="Q118" s="4" t="s">
        <v>894</v>
      </c>
      <c r="R118" s="2"/>
      <c r="S118" s="2"/>
      <c r="T118" s="2"/>
      <c r="V118" s="5" t="str">
        <f t="shared" si="3"/>
        <v/>
      </c>
      <c r="W118" s="6"/>
    </row>
    <row r="119" spans="1:23" ht="24" x14ac:dyDescent="0.3">
      <c r="A119" s="7" t="s">
        <v>895</v>
      </c>
      <c r="B119" s="7">
        <v>1</v>
      </c>
      <c r="C119" s="7" t="s">
        <v>762</v>
      </c>
      <c r="D119" s="7" t="s">
        <v>762</v>
      </c>
      <c r="E119" s="8" t="s">
        <v>896</v>
      </c>
      <c r="F119" s="8" t="s">
        <v>897</v>
      </c>
      <c r="G119" s="7">
        <v>48611000</v>
      </c>
      <c r="H119" s="7">
        <v>48000000</v>
      </c>
      <c r="I119" s="7" t="s">
        <v>898</v>
      </c>
      <c r="J119" s="7" t="s">
        <v>899</v>
      </c>
      <c r="K119" s="7" t="s">
        <v>642</v>
      </c>
      <c r="L119" s="7">
        <v>0.52749999999999997</v>
      </c>
      <c r="M119" s="7">
        <v>0.35949999999999999</v>
      </c>
      <c r="N119" s="7">
        <v>0.2</v>
      </c>
      <c r="O119" s="7">
        <v>0.91859999999999997</v>
      </c>
      <c r="P119" s="7">
        <v>7.3899999999999993E-2</v>
      </c>
      <c r="Q119" s="9" t="s">
        <v>900</v>
      </c>
      <c r="R119" s="9" t="s">
        <v>901</v>
      </c>
      <c r="S119" s="7"/>
      <c r="T119" s="7"/>
      <c r="V119" s="5" t="str">
        <f t="shared" si="3"/>
        <v/>
      </c>
      <c r="W119" s="6"/>
    </row>
    <row r="120" spans="1:23" x14ac:dyDescent="0.3">
      <c r="A120" s="2" t="s">
        <v>902</v>
      </c>
      <c r="B120" s="2">
        <v>0</v>
      </c>
      <c r="C120" s="2" t="s">
        <v>903</v>
      </c>
      <c r="D120" s="2"/>
      <c r="E120" s="3" t="s">
        <v>904</v>
      </c>
      <c r="F120" s="3"/>
      <c r="G120" s="2">
        <v>44</v>
      </c>
      <c r="H120" s="2"/>
      <c r="I120" s="2" t="s">
        <v>905</v>
      </c>
      <c r="J120" s="2" t="s">
        <v>906</v>
      </c>
      <c r="K120" s="2"/>
      <c r="L120" s="2"/>
      <c r="M120" s="2"/>
      <c r="N120" s="2"/>
      <c r="O120" s="2"/>
      <c r="P120" s="2"/>
      <c r="Q120" s="4" t="s">
        <v>907</v>
      </c>
      <c r="R120" s="2"/>
      <c r="S120" s="2" t="s">
        <v>908</v>
      </c>
      <c r="T120" s="2" t="s">
        <v>909</v>
      </c>
      <c r="V120" s="5" t="str">
        <f t="shared" si="3"/>
        <v/>
      </c>
      <c r="W120" s="6"/>
    </row>
    <row r="121" spans="1:23" ht="24" x14ac:dyDescent="0.3">
      <c r="A121" s="2" t="s">
        <v>910</v>
      </c>
      <c r="B121" s="2">
        <v>0</v>
      </c>
      <c r="C121" s="2" t="s">
        <v>394</v>
      </c>
      <c r="D121" s="2"/>
      <c r="E121" s="3" t="s">
        <v>911</v>
      </c>
      <c r="F121" s="3"/>
      <c r="G121" s="2">
        <v>72</v>
      </c>
      <c r="H121" s="2"/>
      <c r="I121" s="2" t="s">
        <v>912</v>
      </c>
      <c r="J121" s="2" t="s">
        <v>913</v>
      </c>
      <c r="K121" s="2"/>
      <c r="L121" s="2"/>
      <c r="M121" s="2"/>
      <c r="N121" s="2"/>
      <c r="O121" s="2"/>
      <c r="P121" s="2"/>
      <c r="Q121" s="4" t="s">
        <v>914</v>
      </c>
      <c r="R121" s="2"/>
      <c r="S121" s="2"/>
      <c r="T121" s="2"/>
      <c r="V121" s="5" t="str">
        <f t="shared" si="3"/>
        <v/>
      </c>
      <c r="W121" s="6"/>
    </row>
    <row r="122" spans="1:23" ht="24" x14ac:dyDescent="0.3">
      <c r="A122" s="2" t="s">
        <v>915</v>
      </c>
      <c r="B122" s="2">
        <v>0</v>
      </c>
      <c r="C122" s="2" t="s">
        <v>916</v>
      </c>
      <c r="D122" s="2"/>
      <c r="E122" s="3" t="s">
        <v>917</v>
      </c>
      <c r="F122" s="3"/>
      <c r="G122" s="2">
        <v>48</v>
      </c>
      <c r="H122" s="2"/>
      <c r="I122" s="2" t="s">
        <v>918</v>
      </c>
      <c r="J122" s="2" t="s">
        <v>919</v>
      </c>
      <c r="K122" s="2"/>
      <c r="L122" s="2"/>
      <c r="M122" s="2"/>
      <c r="N122" s="2"/>
      <c r="O122" s="2"/>
      <c r="P122" s="2"/>
      <c r="Q122" s="4" t="s">
        <v>920</v>
      </c>
      <c r="R122" s="2"/>
      <c r="S122" s="2"/>
      <c r="T122" s="2"/>
      <c r="V122" s="5" t="str">
        <f t="shared" si="3"/>
        <v/>
      </c>
      <c r="W122" s="6"/>
    </row>
    <row r="123" spans="1:23" ht="24" x14ac:dyDescent="0.3">
      <c r="A123" s="7" t="s">
        <v>921</v>
      </c>
      <c r="B123" s="7">
        <v>1</v>
      </c>
      <c r="C123" s="7" t="s">
        <v>922</v>
      </c>
      <c r="D123" s="7" t="s">
        <v>922</v>
      </c>
      <c r="E123" s="8" t="s">
        <v>923</v>
      </c>
      <c r="F123" s="8" t="s">
        <v>924</v>
      </c>
      <c r="G123" s="7">
        <v>45000000</v>
      </c>
      <c r="H123" s="7">
        <v>45000000</v>
      </c>
      <c r="I123" s="7" t="s">
        <v>925</v>
      </c>
      <c r="J123" s="7" t="s">
        <v>926</v>
      </c>
      <c r="K123" s="7" t="s">
        <v>927</v>
      </c>
      <c r="L123" s="7">
        <v>0.58020000000000005</v>
      </c>
      <c r="M123" s="7">
        <v>0.94059999999999999</v>
      </c>
      <c r="N123" s="7">
        <v>0.2</v>
      </c>
      <c r="O123" s="7">
        <v>2.01E-2</v>
      </c>
      <c r="P123" s="7"/>
      <c r="Q123" s="9" t="s">
        <v>928</v>
      </c>
      <c r="R123" s="9" t="s">
        <v>929</v>
      </c>
      <c r="S123" s="7"/>
      <c r="T123" s="7"/>
      <c r="V123" s="5" t="str">
        <f t="shared" si="3"/>
        <v/>
      </c>
      <c r="W123" s="6"/>
    </row>
    <row r="124" spans="1:23" x14ac:dyDescent="0.3">
      <c r="A124" s="2" t="s">
        <v>930</v>
      </c>
      <c r="B124" s="2">
        <v>0</v>
      </c>
      <c r="C124" s="2" t="s">
        <v>423</v>
      </c>
      <c r="D124" s="2"/>
      <c r="E124" s="3" t="s">
        <v>425</v>
      </c>
      <c r="F124" s="3"/>
      <c r="G124" s="2">
        <v>72</v>
      </c>
      <c r="H124" s="2"/>
      <c r="I124" s="2" t="s">
        <v>428</v>
      </c>
      <c r="J124" s="2" t="s">
        <v>265</v>
      </c>
      <c r="K124" s="2"/>
      <c r="L124" s="2"/>
      <c r="M124" s="2"/>
      <c r="N124" s="2"/>
      <c r="O124" s="2"/>
      <c r="P124" s="2"/>
      <c r="Q124" s="4" t="s">
        <v>430</v>
      </c>
      <c r="R124" s="2"/>
      <c r="S124" s="2" t="s">
        <v>931</v>
      </c>
      <c r="T124" s="2" t="s">
        <v>932</v>
      </c>
      <c r="V124" s="5" t="str">
        <f t="shared" si="3"/>
        <v/>
      </c>
      <c r="W124" s="6"/>
    </row>
    <row r="125" spans="1:23" x14ac:dyDescent="0.3">
      <c r="A125" s="2" t="s">
        <v>933</v>
      </c>
      <c r="B125" s="2">
        <v>0</v>
      </c>
      <c r="C125" s="2" t="s">
        <v>934</v>
      </c>
      <c r="D125" s="2"/>
      <c r="E125" s="3" t="s">
        <v>935</v>
      </c>
      <c r="F125" s="3"/>
      <c r="G125" s="2">
        <v>35</v>
      </c>
      <c r="H125" s="2"/>
      <c r="I125" s="2" t="s">
        <v>936</v>
      </c>
      <c r="J125" s="2" t="s">
        <v>937</v>
      </c>
      <c r="K125" s="2"/>
      <c r="L125" s="2"/>
      <c r="M125" s="2"/>
      <c r="N125" s="2"/>
      <c r="O125" s="2"/>
      <c r="P125" s="2"/>
      <c r="Q125" s="4" t="s">
        <v>938</v>
      </c>
      <c r="R125" s="2"/>
      <c r="S125" s="2" t="s">
        <v>939</v>
      </c>
      <c r="T125" s="2" t="s">
        <v>940</v>
      </c>
      <c r="V125" s="5" t="str">
        <f t="shared" si="3"/>
        <v/>
      </c>
      <c r="W125" s="6"/>
    </row>
    <row r="126" spans="1:23" ht="24" x14ac:dyDescent="0.3">
      <c r="A126" s="7" t="s">
        <v>941</v>
      </c>
      <c r="B126" s="7">
        <v>1</v>
      </c>
      <c r="C126" s="7" t="s">
        <v>903</v>
      </c>
      <c r="D126" s="7" t="s">
        <v>903</v>
      </c>
      <c r="E126" s="8" t="s">
        <v>942</v>
      </c>
      <c r="F126" s="8" t="s">
        <v>943</v>
      </c>
      <c r="G126" s="7">
        <v>50312310</v>
      </c>
      <c r="H126" s="7">
        <v>72413000</v>
      </c>
      <c r="I126" s="7" t="s">
        <v>944</v>
      </c>
      <c r="J126" s="7" t="s">
        <v>945</v>
      </c>
      <c r="K126" s="7" t="s">
        <v>758</v>
      </c>
      <c r="L126" s="7">
        <v>0.33</v>
      </c>
      <c r="M126" s="7">
        <v>0.3306</v>
      </c>
      <c r="N126" s="7">
        <v>0</v>
      </c>
      <c r="O126" s="7">
        <v>0.23860000000000001</v>
      </c>
      <c r="P126" s="7"/>
      <c r="Q126" s="9" t="s">
        <v>908</v>
      </c>
      <c r="R126" s="9" t="s">
        <v>946</v>
      </c>
      <c r="S126" s="7"/>
      <c r="T126" s="7"/>
      <c r="V126" s="5" t="str">
        <f t="shared" si="3"/>
        <v/>
      </c>
      <c r="W126" s="6"/>
    </row>
    <row r="127" spans="1:23" ht="24" x14ac:dyDescent="0.3">
      <c r="A127" s="2" t="s">
        <v>947</v>
      </c>
      <c r="B127" s="2">
        <v>0</v>
      </c>
      <c r="C127" s="2" t="s">
        <v>948</v>
      </c>
      <c r="D127" s="2"/>
      <c r="E127" s="3" t="s">
        <v>949</v>
      </c>
      <c r="F127" s="3"/>
      <c r="G127" s="2">
        <v>72</v>
      </c>
      <c r="H127" s="2"/>
      <c r="I127" s="2" t="s">
        <v>950</v>
      </c>
      <c r="J127" s="2" t="s">
        <v>951</v>
      </c>
      <c r="K127" s="2"/>
      <c r="L127" s="2"/>
      <c r="M127" s="2"/>
      <c r="N127" s="2"/>
      <c r="O127" s="2"/>
      <c r="P127" s="2"/>
      <c r="Q127" s="4" t="s">
        <v>952</v>
      </c>
      <c r="R127" s="2"/>
      <c r="S127" s="2"/>
      <c r="T127" s="2"/>
      <c r="V127" s="5" t="str">
        <f t="shared" si="3"/>
        <v/>
      </c>
      <c r="W127" s="6"/>
    </row>
    <row r="128" spans="1:23" ht="24" x14ac:dyDescent="0.3">
      <c r="A128" s="7" t="s">
        <v>953</v>
      </c>
      <c r="B128" s="7">
        <v>1</v>
      </c>
      <c r="C128" s="7" t="s">
        <v>41</v>
      </c>
      <c r="D128" s="7" t="s">
        <v>41</v>
      </c>
      <c r="E128" s="8" t="s">
        <v>954</v>
      </c>
      <c r="F128" s="8" t="s">
        <v>438</v>
      </c>
      <c r="G128" s="7">
        <v>72000000</v>
      </c>
      <c r="H128" s="7">
        <v>72267000</v>
      </c>
      <c r="I128" s="7" t="s">
        <v>955</v>
      </c>
      <c r="J128" s="7" t="s">
        <v>956</v>
      </c>
      <c r="K128" s="7" t="s">
        <v>439</v>
      </c>
      <c r="L128" s="7">
        <v>0.49559999999999998</v>
      </c>
      <c r="M128" s="7">
        <v>0.42959999999999998</v>
      </c>
      <c r="N128" s="7">
        <v>0.2</v>
      </c>
      <c r="O128" s="7">
        <v>0.61870000000000003</v>
      </c>
      <c r="P128" s="7">
        <v>1.1000000000000001E-3</v>
      </c>
      <c r="Q128" s="9" t="s">
        <v>957</v>
      </c>
      <c r="R128" s="9" t="s">
        <v>441</v>
      </c>
      <c r="S128" s="7"/>
      <c r="T128" s="7"/>
      <c r="V128" s="5" t="str">
        <f t="shared" si="3"/>
        <v/>
      </c>
      <c r="W128" s="6"/>
    </row>
    <row r="129" spans="1:23" ht="36" x14ac:dyDescent="0.3">
      <c r="A129" s="7" t="s">
        <v>958</v>
      </c>
      <c r="B129" s="7">
        <v>1</v>
      </c>
      <c r="C129" s="7" t="s">
        <v>169</v>
      </c>
      <c r="D129" s="7" t="s">
        <v>169</v>
      </c>
      <c r="E129" s="8" t="s">
        <v>959</v>
      </c>
      <c r="F129" s="8" t="s">
        <v>960</v>
      </c>
      <c r="G129" s="7">
        <v>50324100</v>
      </c>
      <c r="H129" s="7">
        <v>48310000</v>
      </c>
      <c r="I129" s="7" t="s">
        <v>961</v>
      </c>
      <c r="J129" s="7" t="s">
        <v>962</v>
      </c>
      <c r="K129" s="7" t="s">
        <v>963</v>
      </c>
      <c r="L129" s="7">
        <v>0.46039999999999998</v>
      </c>
      <c r="M129" s="7">
        <v>0.31530000000000002</v>
      </c>
      <c r="N129" s="7">
        <v>0</v>
      </c>
      <c r="O129" s="7">
        <v>0.9214</v>
      </c>
      <c r="P129" s="7">
        <v>1.61E-2</v>
      </c>
      <c r="Q129" s="9" t="s">
        <v>964</v>
      </c>
      <c r="R129" s="9" t="s">
        <v>965</v>
      </c>
      <c r="S129" s="7"/>
      <c r="T129" s="7"/>
      <c r="V129" s="5" t="str">
        <f t="shared" si="3"/>
        <v/>
      </c>
      <c r="W129" s="6"/>
    </row>
    <row r="130" spans="1:23" ht="24" x14ac:dyDescent="0.3">
      <c r="A130" s="7" t="s">
        <v>966</v>
      </c>
      <c r="B130" s="7">
        <v>1</v>
      </c>
      <c r="C130" s="7" t="s">
        <v>343</v>
      </c>
      <c r="D130" s="7" t="s">
        <v>343</v>
      </c>
      <c r="E130" s="8" t="s">
        <v>967</v>
      </c>
      <c r="F130" s="8" t="s">
        <v>968</v>
      </c>
      <c r="G130" s="7">
        <v>39294100</v>
      </c>
      <c r="H130" s="7">
        <v>72400000</v>
      </c>
      <c r="I130" s="7" t="s">
        <v>969</v>
      </c>
      <c r="J130" s="7" t="s">
        <v>832</v>
      </c>
      <c r="K130" s="7" t="s">
        <v>970</v>
      </c>
      <c r="L130" s="7">
        <v>0.46079999999999999</v>
      </c>
      <c r="M130" s="7">
        <v>0.30459999999999998</v>
      </c>
      <c r="N130" s="7">
        <v>0</v>
      </c>
      <c r="O130" s="7">
        <v>0.94450000000000001</v>
      </c>
      <c r="P130" s="7">
        <v>1.78E-2</v>
      </c>
      <c r="Q130" s="9" t="s">
        <v>971</v>
      </c>
      <c r="R130" s="9" t="s">
        <v>972</v>
      </c>
      <c r="S130" s="7"/>
      <c r="T130" s="7"/>
      <c r="V130" s="5" t="str">
        <f t="shared" ref="V130:V151" si="4">IF(U130="credible_renewal","true_positive",IF(U130="not_credible_false_positive","false_positive",IF(U130="plausible_censored","true_negative_or_plausible_censored",IF(U130="missed_renewal_false_negative","false_negative",IF(OR(U130="doubtful_but_possible",U130="impossible_to_judge"),"not_applicable","")))))</f>
        <v/>
      </c>
      <c r="W130" s="6"/>
    </row>
    <row r="131" spans="1:23" ht="36" x14ac:dyDescent="0.3">
      <c r="A131" s="2" t="s">
        <v>973</v>
      </c>
      <c r="B131" s="2">
        <v>0</v>
      </c>
      <c r="C131" s="2" t="s">
        <v>974</v>
      </c>
      <c r="D131" s="2"/>
      <c r="E131" s="3" t="s">
        <v>975</v>
      </c>
      <c r="F131" s="3"/>
      <c r="G131" s="2">
        <v>72</v>
      </c>
      <c r="H131" s="2"/>
      <c r="I131" s="2" t="s">
        <v>976</v>
      </c>
      <c r="J131" s="2" t="s">
        <v>977</v>
      </c>
      <c r="K131" s="2"/>
      <c r="L131" s="2"/>
      <c r="M131" s="2"/>
      <c r="N131" s="2"/>
      <c r="O131" s="2"/>
      <c r="P131" s="2"/>
      <c r="Q131" s="4" t="s">
        <v>978</v>
      </c>
      <c r="R131" s="2"/>
      <c r="S131" s="2"/>
      <c r="T131" s="2"/>
      <c r="V131" s="5" t="str">
        <f t="shared" si="4"/>
        <v/>
      </c>
      <c r="W131" s="6"/>
    </row>
    <row r="132" spans="1:23" ht="24" x14ac:dyDescent="0.3">
      <c r="A132" s="7" t="s">
        <v>979</v>
      </c>
      <c r="B132" s="7">
        <v>1</v>
      </c>
      <c r="C132" s="7" t="s">
        <v>32</v>
      </c>
      <c r="D132" s="7" t="s">
        <v>32</v>
      </c>
      <c r="E132" s="8" t="s">
        <v>980</v>
      </c>
      <c r="F132" s="8" t="s">
        <v>981</v>
      </c>
      <c r="G132" s="7">
        <v>72250000</v>
      </c>
      <c r="H132" s="7">
        <v>72221000</v>
      </c>
      <c r="I132" s="7" t="s">
        <v>982</v>
      </c>
      <c r="J132" s="7" t="s">
        <v>983</v>
      </c>
      <c r="K132" s="7" t="s">
        <v>366</v>
      </c>
      <c r="L132" s="7">
        <v>0.60319999999999996</v>
      </c>
      <c r="M132" s="7">
        <v>0.40010000000000001</v>
      </c>
      <c r="N132" s="7">
        <v>0.4</v>
      </c>
      <c r="O132" s="7">
        <v>0.96560000000000001</v>
      </c>
      <c r="P132" s="7">
        <v>5.5800000000000002E-2</v>
      </c>
      <c r="Q132" s="9" t="s">
        <v>984</v>
      </c>
      <c r="R132" s="9" t="s">
        <v>985</v>
      </c>
      <c r="S132" s="7"/>
      <c r="T132" s="7"/>
      <c r="V132" s="5" t="str">
        <f t="shared" si="4"/>
        <v/>
      </c>
      <c r="W132" s="6"/>
    </row>
    <row r="133" spans="1:23" ht="48" x14ac:dyDescent="0.3">
      <c r="A133" s="7" t="s">
        <v>986</v>
      </c>
      <c r="B133" s="7">
        <v>1</v>
      </c>
      <c r="C133" s="7" t="s">
        <v>987</v>
      </c>
      <c r="D133" s="7" t="s">
        <v>987</v>
      </c>
      <c r="E133" s="8" t="s">
        <v>988</v>
      </c>
      <c r="F133" s="8" t="s">
        <v>989</v>
      </c>
      <c r="G133" s="7">
        <v>72000000</v>
      </c>
      <c r="H133" s="7">
        <v>72413000</v>
      </c>
      <c r="I133" s="7" t="s">
        <v>990</v>
      </c>
      <c r="J133" s="7" t="s">
        <v>991</v>
      </c>
      <c r="K133" s="7" t="s">
        <v>992</v>
      </c>
      <c r="L133" s="7">
        <v>0.54500000000000004</v>
      </c>
      <c r="M133" s="7">
        <v>0.39029999999999998</v>
      </c>
      <c r="N133" s="7">
        <v>0.2</v>
      </c>
      <c r="O133" s="7">
        <v>0.94450000000000001</v>
      </c>
      <c r="P133" s="7">
        <v>0.16189999999999999</v>
      </c>
      <c r="Q133" s="9" t="s">
        <v>993</v>
      </c>
      <c r="R133" s="9" t="s">
        <v>994</v>
      </c>
      <c r="S133" s="7"/>
      <c r="T133" s="7"/>
      <c r="V133" s="5" t="str">
        <f t="shared" si="4"/>
        <v/>
      </c>
      <c r="W133" s="6"/>
    </row>
    <row r="134" spans="1:23" ht="36" x14ac:dyDescent="0.3">
      <c r="A134" s="7" t="s">
        <v>995</v>
      </c>
      <c r="B134" s="7">
        <v>1</v>
      </c>
      <c r="C134" s="7" t="s">
        <v>62</v>
      </c>
      <c r="D134" s="7" t="s">
        <v>63</v>
      </c>
      <c r="E134" s="8" t="s">
        <v>996</v>
      </c>
      <c r="F134" s="8" t="s">
        <v>997</v>
      </c>
      <c r="G134" s="7">
        <v>32584000</v>
      </c>
      <c r="H134" s="7">
        <v>32322000</v>
      </c>
      <c r="I134" s="7" t="s">
        <v>337</v>
      </c>
      <c r="J134" s="7" t="s">
        <v>998</v>
      </c>
      <c r="K134" s="7" t="s">
        <v>999</v>
      </c>
      <c r="L134" s="7">
        <v>0.56279999999999997</v>
      </c>
      <c r="M134" s="7">
        <v>0.46460000000000001</v>
      </c>
      <c r="N134" s="7">
        <v>0.2</v>
      </c>
      <c r="O134" s="7">
        <v>0.88470000000000004</v>
      </c>
      <c r="P134" s="7">
        <v>2.6800000000000001E-2</v>
      </c>
      <c r="Q134" s="9" t="s">
        <v>1000</v>
      </c>
      <c r="R134" s="9" t="s">
        <v>1001</v>
      </c>
      <c r="S134" s="7"/>
      <c r="T134" s="7"/>
      <c r="V134" s="5" t="str">
        <f t="shared" si="4"/>
        <v/>
      </c>
      <c r="W134" s="6"/>
    </row>
    <row r="135" spans="1:23" ht="36" x14ac:dyDescent="0.3">
      <c r="A135" s="7" t="s">
        <v>1002</v>
      </c>
      <c r="B135" s="7">
        <v>1</v>
      </c>
      <c r="C135" s="7" t="s">
        <v>192</v>
      </c>
      <c r="D135" s="7" t="s">
        <v>192</v>
      </c>
      <c r="E135" s="8" t="s">
        <v>1003</v>
      </c>
      <c r="F135" s="8" t="s">
        <v>1004</v>
      </c>
      <c r="G135" s="7">
        <v>48813200</v>
      </c>
      <c r="H135" s="7">
        <v>72200000</v>
      </c>
      <c r="I135" s="7" t="s">
        <v>1005</v>
      </c>
      <c r="J135" s="7" t="s">
        <v>1006</v>
      </c>
      <c r="K135" s="7" t="s">
        <v>1007</v>
      </c>
      <c r="L135" s="7">
        <v>0.5363</v>
      </c>
      <c r="M135" s="7">
        <v>0.50170000000000003</v>
      </c>
      <c r="N135" s="7">
        <v>0</v>
      </c>
      <c r="O135" s="7">
        <v>0.92810000000000004</v>
      </c>
      <c r="P135" s="7">
        <v>2.58E-2</v>
      </c>
      <c r="Q135" s="9" t="s">
        <v>1008</v>
      </c>
      <c r="R135" s="9" t="s">
        <v>1009</v>
      </c>
      <c r="S135" s="7"/>
      <c r="T135" s="7"/>
      <c r="V135" s="5" t="str">
        <f t="shared" si="4"/>
        <v/>
      </c>
      <c r="W135" s="6"/>
    </row>
    <row r="136" spans="1:23" ht="36" x14ac:dyDescent="0.3">
      <c r="A136" s="7" t="s">
        <v>1010</v>
      </c>
      <c r="B136" s="7">
        <v>1</v>
      </c>
      <c r="C136" s="7" t="s">
        <v>343</v>
      </c>
      <c r="D136" s="7" t="s">
        <v>343</v>
      </c>
      <c r="E136" s="8" t="s">
        <v>1011</v>
      </c>
      <c r="F136" s="8" t="s">
        <v>1012</v>
      </c>
      <c r="G136" s="7">
        <v>72267100</v>
      </c>
      <c r="H136" s="7">
        <v>72267000</v>
      </c>
      <c r="I136" s="7" t="s">
        <v>1013</v>
      </c>
      <c r="J136" s="7" t="s">
        <v>1014</v>
      </c>
      <c r="K136" s="7" t="s">
        <v>1015</v>
      </c>
      <c r="L136" s="7">
        <v>0.86029999999999995</v>
      </c>
      <c r="M136" s="7">
        <v>0.8599</v>
      </c>
      <c r="N136" s="7">
        <v>0.8</v>
      </c>
      <c r="O136" s="7">
        <v>0.83179999999999998</v>
      </c>
      <c r="P136" s="7">
        <v>5.5100000000000003E-2</v>
      </c>
      <c r="Q136" s="9" t="s">
        <v>1016</v>
      </c>
      <c r="R136" s="9" t="s">
        <v>1017</v>
      </c>
      <c r="S136" s="7"/>
      <c r="T136" s="7"/>
      <c r="V136" s="5" t="str">
        <f t="shared" si="4"/>
        <v/>
      </c>
      <c r="W136" s="6"/>
    </row>
    <row r="137" spans="1:23" ht="48" x14ac:dyDescent="0.3">
      <c r="A137" s="7" t="s">
        <v>1018</v>
      </c>
      <c r="B137" s="7">
        <v>1</v>
      </c>
      <c r="C137" s="7" t="s">
        <v>62</v>
      </c>
      <c r="D137" s="7" t="s">
        <v>1019</v>
      </c>
      <c r="E137" s="8" t="s">
        <v>1020</v>
      </c>
      <c r="F137" s="8" t="s">
        <v>1021</v>
      </c>
      <c r="G137" s="7">
        <v>35113200</v>
      </c>
      <c r="H137" s="7">
        <v>32320000</v>
      </c>
      <c r="I137" s="7" t="s">
        <v>485</v>
      </c>
      <c r="J137" s="7" t="s">
        <v>1022</v>
      </c>
      <c r="K137" s="7" t="s">
        <v>1023</v>
      </c>
      <c r="L137" s="7">
        <v>0.39269999999999999</v>
      </c>
      <c r="M137" s="7">
        <v>0.2109</v>
      </c>
      <c r="N137" s="7">
        <v>0</v>
      </c>
      <c r="O137" s="7">
        <v>0.79159999999999997</v>
      </c>
      <c r="P137" s="7"/>
      <c r="Q137" s="9" t="s">
        <v>1024</v>
      </c>
      <c r="R137" s="9" t="s">
        <v>1025</v>
      </c>
      <c r="S137" s="7"/>
      <c r="T137" s="7"/>
      <c r="V137" s="5" t="str">
        <f t="shared" si="4"/>
        <v/>
      </c>
      <c r="W137" s="6"/>
    </row>
    <row r="138" spans="1:23" ht="36" x14ac:dyDescent="0.3">
      <c r="A138" s="7" t="s">
        <v>1026</v>
      </c>
      <c r="B138" s="7">
        <v>1</v>
      </c>
      <c r="C138" s="7" t="s">
        <v>1027</v>
      </c>
      <c r="D138" s="7" t="s">
        <v>1027</v>
      </c>
      <c r="E138" s="8" t="s">
        <v>1028</v>
      </c>
      <c r="F138" s="8" t="s">
        <v>1029</v>
      </c>
      <c r="G138" s="7">
        <v>72268000</v>
      </c>
      <c r="H138" s="7">
        <v>72267000</v>
      </c>
      <c r="I138" s="7" t="s">
        <v>1005</v>
      </c>
      <c r="J138" s="7" t="s">
        <v>1006</v>
      </c>
      <c r="K138" s="7" t="s">
        <v>1030</v>
      </c>
      <c r="L138" s="7">
        <v>0.70389999999999997</v>
      </c>
      <c r="M138" s="7">
        <v>0.62909999999999999</v>
      </c>
      <c r="N138" s="7">
        <v>0.6</v>
      </c>
      <c r="O138" s="7">
        <v>0.7611</v>
      </c>
      <c r="P138" s="7">
        <v>5.9499999999999997E-2</v>
      </c>
      <c r="Q138" s="9" t="s">
        <v>1031</v>
      </c>
      <c r="R138" s="9" t="s">
        <v>1032</v>
      </c>
      <c r="S138" s="7"/>
      <c r="T138" s="7"/>
      <c r="V138" s="5" t="str">
        <f t="shared" si="4"/>
        <v/>
      </c>
      <c r="W138" s="6"/>
    </row>
    <row r="139" spans="1:23" ht="36" x14ac:dyDescent="0.3">
      <c r="A139" s="2" t="s">
        <v>1033</v>
      </c>
      <c r="B139" s="2">
        <v>0</v>
      </c>
      <c r="C139" s="2" t="s">
        <v>334</v>
      </c>
      <c r="D139" s="2"/>
      <c r="E139" s="3" t="s">
        <v>780</v>
      </c>
      <c r="F139" s="3"/>
      <c r="G139" s="2">
        <v>72</v>
      </c>
      <c r="H139" s="2"/>
      <c r="I139" s="2" t="s">
        <v>641</v>
      </c>
      <c r="J139" s="2" t="s">
        <v>1034</v>
      </c>
      <c r="K139" s="2"/>
      <c r="L139" s="2"/>
      <c r="M139" s="2"/>
      <c r="N139" s="2"/>
      <c r="O139" s="2"/>
      <c r="P139" s="2"/>
      <c r="Q139" s="4" t="s">
        <v>784</v>
      </c>
      <c r="R139" s="2"/>
      <c r="S139" s="2" t="s">
        <v>1035</v>
      </c>
      <c r="T139" s="2" t="s">
        <v>1036</v>
      </c>
      <c r="V139" s="5" t="str">
        <f t="shared" si="4"/>
        <v/>
      </c>
      <c r="W139" s="6"/>
    </row>
    <row r="140" spans="1:23" ht="24" x14ac:dyDescent="0.3">
      <c r="A140" s="2" t="s">
        <v>1037</v>
      </c>
      <c r="B140" s="2">
        <v>0</v>
      </c>
      <c r="C140" s="2" t="s">
        <v>1038</v>
      </c>
      <c r="D140" s="2"/>
      <c r="E140" s="3" t="s">
        <v>1039</v>
      </c>
      <c r="F140" s="3"/>
      <c r="G140" s="2">
        <v>44</v>
      </c>
      <c r="H140" s="2"/>
      <c r="I140" s="2" t="s">
        <v>1040</v>
      </c>
      <c r="J140" s="2" t="s">
        <v>1041</v>
      </c>
      <c r="K140" s="2"/>
      <c r="L140" s="2"/>
      <c r="M140" s="2"/>
      <c r="N140" s="2"/>
      <c r="O140" s="2"/>
      <c r="P140" s="2"/>
      <c r="Q140" s="4" t="s">
        <v>1042</v>
      </c>
      <c r="R140" s="2"/>
      <c r="S140" s="2"/>
      <c r="T140" s="2"/>
      <c r="V140" s="5" t="str">
        <f t="shared" si="4"/>
        <v/>
      </c>
      <c r="W140" s="6"/>
    </row>
    <row r="141" spans="1:23" ht="48" x14ac:dyDescent="0.3">
      <c r="A141" s="7" t="s">
        <v>1043</v>
      </c>
      <c r="B141" s="7">
        <v>1</v>
      </c>
      <c r="C141" s="7" t="s">
        <v>169</v>
      </c>
      <c r="D141" s="7" t="s">
        <v>170</v>
      </c>
      <c r="E141" s="8" t="s">
        <v>1044</v>
      </c>
      <c r="F141" s="8" t="s">
        <v>1045</v>
      </c>
      <c r="G141" s="7">
        <v>72700000</v>
      </c>
      <c r="H141" s="7">
        <v>72700000</v>
      </c>
      <c r="I141" s="7" t="s">
        <v>1046</v>
      </c>
      <c r="J141" s="7" t="s">
        <v>1047</v>
      </c>
      <c r="K141" s="7" t="s">
        <v>1048</v>
      </c>
      <c r="L141" s="7">
        <v>0.88849999999999996</v>
      </c>
      <c r="M141" s="7">
        <v>0.74709999999999999</v>
      </c>
      <c r="N141" s="7">
        <v>1</v>
      </c>
      <c r="O141" s="7">
        <v>0.94830000000000003</v>
      </c>
      <c r="P141" s="7">
        <v>0.46050000000000002</v>
      </c>
      <c r="Q141" s="9" t="s">
        <v>1049</v>
      </c>
      <c r="R141" s="9" t="s">
        <v>1050</v>
      </c>
      <c r="S141" s="7"/>
      <c r="T141" s="7"/>
      <c r="V141" s="5" t="str">
        <f t="shared" si="4"/>
        <v/>
      </c>
      <c r="W141" s="6"/>
    </row>
    <row r="142" spans="1:23" ht="24" x14ac:dyDescent="0.3">
      <c r="A142" s="2" t="s">
        <v>1051</v>
      </c>
      <c r="B142" s="2">
        <v>0</v>
      </c>
      <c r="C142" s="2" t="s">
        <v>1052</v>
      </c>
      <c r="D142" s="2"/>
      <c r="E142" s="3" t="s">
        <v>1053</v>
      </c>
      <c r="F142" s="3"/>
      <c r="G142" s="2">
        <v>45</v>
      </c>
      <c r="H142" s="2"/>
      <c r="I142" s="2" t="s">
        <v>1054</v>
      </c>
      <c r="J142" s="2" t="s">
        <v>1055</v>
      </c>
      <c r="K142" s="2"/>
      <c r="L142" s="2"/>
      <c r="M142" s="2"/>
      <c r="N142" s="2"/>
      <c r="O142" s="2"/>
      <c r="P142" s="2"/>
      <c r="Q142" s="4" t="s">
        <v>1056</v>
      </c>
      <c r="R142" s="2"/>
      <c r="S142" s="2"/>
      <c r="T142" s="2"/>
      <c r="V142" s="5" t="str">
        <f t="shared" si="4"/>
        <v/>
      </c>
      <c r="W142" s="6"/>
    </row>
    <row r="143" spans="1:23" ht="36" x14ac:dyDescent="0.3">
      <c r="A143" s="2" t="s">
        <v>1057</v>
      </c>
      <c r="B143" s="2">
        <v>0</v>
      </c>
      <c r="C143" s="2" t="s">
        <v>394</v>
      </c>
      <c r="D143" s="2"/>
      <c r="E143" s="3" t="s">
        <v>1058</v>
      </c>
      <c r="F143" s="3"/>
      <c r="G143" s="2">
        <v>32</v>
      </c>
      <c r="H143" s="2"/>
      <c r="I143" s="2" t="s">
        <v>1059</v>
      </c>
      <c r="J143" s="2" t="s">
        <v>1060</v>
      </c>
      <c r="K143" s="2"/>
      <c r="L143" s="2"/>
      <c r="M143" s="2"/>
      <c r="N143" s="2"/>
      <c r="O143" s="2"/>
      <c r="P143" s="2"/>
      <c r="Q143" s="4" t="s">
        <v>1061</v>
      </c>
      <c r="R143" s="2"/>
      <c r="S143" s="2"/>
      <c r="T143" s="2"/>
      <c r="V143" s="5" t="str">
        <f t="shared" si="4"/>
        <v/>
      </c>
      <c r="W143" s="6"/>
    </row>
    <row r="144" spans="1:23" ht="24" x14ac:dyDescent="0.3">
      <c r="A144" s="7" t="s">
        <v>1062</v>
      </c>
      <c r="B144" s="7">
        <v>1</v>
      </c>
      <c r="C144" s="7" t="s">
        <v>112</v>
      </c>
      <c r="D144" s="7" t="s">
        <v>112</v>
      </c>
      <c r="E144" s="8" t="s">
        <v>1063</v>
      </c>
      <c r="F144" s="8" t="s">
        <v>1064</v>
      </c>
      <c r="G144" s="7">
        <v>32330000</v>
      </c>
      <c r="H144" s="7">
        <v>32321300</v>
      </c>
      <c r="I144" s="7" t="s">
        <v>1065</v>
      </c>
      <c r="J144" s="7" t="s">
        <v>1066</v>
      </c>
      <c r="K144" s="7" t="s">
        <v>1067</v>
      </c>
      <c r="L144" s="7">
        <v>0.55630000000000002</v>
      </c>
      <c r="M144" s="7">
        <v>0.55310000000000004</v>
      </c>
      <c r="N144" s="7">
        <v>0.4</v>
      </c>
      <c r="O144" s="7">
        <v>0.42549999999999999</v>
      </c>
      <c r="P144" s="7">
        <v>3.3E-3</v>
      </c>
      <c r="Q144" s="9" t="s">
        <v>1068</v>
      </c>
      <c r="R144" s="9" t="s">
        <v>1069</v>
      </c>
      <c r="S144" s="7"/>
      <c r="T144" s="7"/>
      <c r="V144" s="5" t="str">
        <f t="shared" si="4"/>
        <v/>
      </c>
      <c r="W144" s="6"/>
    </row>
    <row r="145" spans="1:23" ht="24" x14ac:dyDescent="0.3">
      <c r="A145" s="7" t="s">
        <v>1070</v>
      </c>
      <c r="B145" s="7">
        <v>1</v>
      </c>
      <c r="C145" s="7" t="s">
        <v>1071</v>
      </c>
      <c r="D145" s="7" t="s">
        <v>1071</v>
      </c>
      <c r="E145" s="8" t="s">
        <v>1072</v>
      </c>
      <c r="F145" s="8" t="s">
        <v>1073</v>
      </c>
      <c r="G145" s="7">
        <v>32323500</v>
      </c>
      <c r="H145" s="7">
        <v>32420000</v>
      </c>
      <c r="I145" s="7" t="s">
        <v>1074</v>
      </c>
      <c r="J145" s="7" t="s">
        <v>1075</v>
      </c>
      <c r="K145" s="7" t="s">
        <v>1076</v>
      </c>
      <c r="L145" s="7">
        <v>0.3654</v>
      </c>
      <c r="M145" s="7">
        <v>0.35610000000000003</v>
      </c>
      <c r="N145" s="7">
        <v>0.2</v>
      </c>
      <c r="O145" s="7">
        <v>0.11509999999999999</v>
      </c>
      <c r="P145" s="7"/>
      <c r="Q145" s="9" t="s">
        <v>1077</v>
      </c>
      <c r="R145" s="9" t="s">
        <v>1078</v>
      </c>
      <c r="S145" s="7"/>
      <c r="T145" s="7"/>
      <c r="V145" s="5" t="str">
        <f t="shared" si="4"/>
        <v/>
      </c>
      <c r="W145" s="6"/>
    </row>
    <row r="146" spans="1:23" ht="24" x14ac:dyDescent="0.3">
      <c r="A146" s="7" t="s">
        <v>1079</v>
      </c>
      <c r="B146" s="7">
        <v>1</v>
      </c>
      <c r="C146" s="7" t="s">
        <v>762</v>
      </c>
      <c r="D146" s="7" t="s">
        <v>762</v>
      </c>
      <c r="E146" s="8" t="s">
        <v>1080</v>
      </c>
      <c r="F146" s="8" t="s">
        <v>897</v>
      </c>
      <c r="G146" s="7">
        <v>48170000</v>
      </c>
      <c r="H146" s="7">
        <v>48000000</v>
      </c>
      <c r="I146" s="7" t="s">
        <v>1013</v>
      </c>
      <c r="J146" s="7" t="s">
        <v>1081</v>
      </c>
      <c r="K146" s="7" t="s">
        <v>642</v>
      </c>
      <c r="L146" s="7">
        <v>0.63</v>
      </c>
      <c r="M146" s="7">
        <v>0.6573</v>
      </c>
      <c r="N146" s="7">
        <v>0.2</v>
      </c>
      <c r="O146" s="7">
        <v>0.83530000000000004</v>
      </c>
      <c r="P146" s="7">
        <v>4.0099999999999997E-2</v>
      </c>
      <c r="Q146" s="9" t="s">
        <v>1082</v>
      </c>
      <c r="R146" s="9" t="s">
        <v>901</v>
      </c>
      <c r="S146" s="7"/>
      <c r="T146" s="7"/>
      <c r="V146" s="5" t="str">
        <f t="shared" si="4"/>
        <v/>
      </c>
      <c r="W146" s="6"/>
    </row>
    <row r="147" spans="1:23" ht="36" x14ac:dyDescent="0.3">
      <c r="A147" s="2" t="s">
        <v>1083</v>
      </c>
      <c r="B147" s="2">
        <v>0</v>
      </c>
      <c r="C147" s="2" t="s">
        <v>1084</v>
      </c>
      <c r="D147" s="2"/>
      <c r="E147" s="3" t="s">
        <v>1085</v>
      </c>
      <c r="F147" s="3"/>
      <c r="G147" s="2">
        <v>72</v>
      </c>
      <c r="H147" s="2"/>
      <c r="I147" s="2" t="s">
        <v>744</v>
      </c>
      <c r="J147" s="2" t="s">
        <v>1074</v>
      </c>
      <c r="K147" s="2"/>
      <c r="L147" s="2"/>
      <c r="M147" s="2"/>
      <c r="N147" s="2"/>
      <c r="O147" s="2"/>
      <c r="P147" s="2"/>
      <c r="Q147" s="4" t="s">
        <v>1086</v>
      </c>
      <c r="R147" s="2"/>
      <c r="S147" s="2"/>
      <c r="T147" s="2"/>
      <c r="V147" s="5" t="str">
        <f t="shared" si="4"/>
        <v/>
      </c>
      <c r="W147" s="6"/>
    </row>
    <row r="148" spans="1:23" ht="48" x14ac:dyDescent="0.3">
      <c r="A148" s="7" t="s">
        <v>1087</v>
      </c>
      <c r="B148" s="7">
        <v>1</v>
      </c>
      <c r="C148" s="7" t="s">
        <v>1088</v>
      </c>
      <c r="D148" s="7" t="s">
        <v>1089</v>
      </c>
      <c r="E148" s="8" t="s">
        <v>1090</v>
      </c>
      <c r="F148" s="8" t="s">
        <v>1091</v>
      </c>
      <c r="G148" s="7">
        <v>72500000</v>
      </c>
      <c r="H148" s="7">
        <v>50312310</v>
      </c>
      <c r="I148" s="7" t="s">
        <v>1092</v>
      </c>
      <c r="J148" s="7" t="s">
        <v>1093</v>
      </c>
      <c r="K148" s="7" t="s">
        <v>1094</v>
      </c>
      <c r="L148" s="7">
        <v>0.51259999999999994</v>
      </c>
      <c r="M148" s="7">
        <v>0.48170000000000002</v>
      </c>
      <c r="N148" s="7">
        <v>0</v>
      </c>
      <c r="O148" s="7">
        <v>0.8498</v>
      </c>
      <c r="P148" s="7">
        <v>7.5499999999999998E-2</v>
      </c>
      <c r="Q148" s="9" t="s">
        <v>1095</v>
      </c>
      <c r="R148" s="9" t="s">
        <v>1096</v>
      </c>
      <c r="S148" s="7"/>
      <c r="T148" s="7"/>
      <c r="V148" s="5" t="str">
        <f t="shared" si="4"/>
        <v/>
      </c>
      <c r="W148" s="6"/>
    </row>
    <row r="149" spans="1:23" ht="24" x14ac:dyDescent="0.3">
      <c r="A149" s="7" t="s">
        <v>1097</v>
      </c>
      <c r="B149" s="7">
        <v>1</v>
      </c>
      <c r="C149" s="7" t="s">
        <v>1088</v>
      </c>
      <c r="D149" s="7" t="s">
        <v>1089</v>
      </c>
      <c r="E149" s="8" t="s">
        <v>1098</v>
      </c>
      <c r="F149" s="8" t="s">
        <v>1099</v>
      </c>
      <c r="G149" s="7">
        <v>64200000</v>
      </c>
      <c r="H149" s="7">
        <v>64200000</v>
      </c>
      <c r="I149" s="7" t="s">
        <v>1100</v>
      </c>
      <c r="J149" s="7" t="s">
        <v>1101</v>
      </c>
      <c r="K149" s="7" t="s">
        <v>1102</v>
      </c>
      <c r="L149" s="7">
        <v>0.98939999999999995</v>
      </c>
      <c r="M149" s="7">
        <v>0.98470000000000002</v>
      </c>
      <c r="N149" s="7">
        <v>1</v>
      </c>
      <c r="O149" s="7">
        <v>0.9778</v>
      </c>
      <c r="P149" s="7">
        <v>0.40160000000000001</v>
      </c>
      <c r="Q149" s="9" t="s">
        <v>1103</v>
      </c>
      <c r="R149" s="9" t="s">
        <v>1104</v>
      </c>
      <c r="S149" s="7"/>
      <c r="T149" s="7"/>
      <c r="V149" s="5" t="str">
        <f t="shared" si="4"/>
        <v/>
      </c>
      <c r="W149" s="6"/>
    </row>
    <row r="150" spans="1:23" x14ac:dyDescent="0.3">
      <c r="A150" s="2" t="s">
        <v>1105</v>
      </c>
      <c r="B150" s="2">
        <v>0</v>
      </c>
      <c r="C150" s="2" t="s">
        <v>334</v>
      </c>
      <c r="D150" s="2"/>
      <c r="E150" s="3" t="s">
        <v>1106</v>
      </c>
      <c r="F150" s="3"/>
      <c r="G150" s="2">
        <v>35</v>
      </c>
      <c r="H150" s="2"/>
      <c r="I150" s="2" t="s">
        <v>1107</v>
      </c>
      <c r="J150" s="2" t="s">
        <v>1108</v>
      </c>
      <c r="K150" s="2"/>
      <c r="L150" s="2"/>
      <c r="M150" s="2"/>
      <c r="N150" s="2"/>
      <c r="O150" s="2"/>
      <c r="P150" s="2"/>
      <c r="Q150" s="4" t="s">
        <v>1109</v>
      </c>
      <c r="R150" s="2"/>
      <c r="S150" s="2" t="s">
        <v>1035</v>
      </c>
      <c r="T150" s="2" t="s">
        <v>1036</v>
      </c>
      <c r="V150" s="5" t="str">
        <f t="shared" si="4"/>
        <v/>
      </c>
      <c r="W150" s="6"/>
    </row>
    <row r="151" spans="1:23" ht="24" x14ac:dyDescent="0.3">
      <c r="A151" s="2" t="s">
        <v>1110</v>
      </c>
      <c r="B151" s="2">
        <v>0</v>
      </c>
      <c r="C151" s="2" t="s">
        <v>1111</v>
      </c>
      <c r="D151" s="2"/>
      <c r="E151" s="3" t="s">
        <v>1112</v>
      </c>
      <c r="F151" s="3"/>
      <c r="G151" s="2">
        <v>32</v>
      </c>
      <c r="H151" s="2"/>
      <c r="I151" s="2" t="s">
        <v>1113</v>
      </c>
      <c r="J151" s="2" t="s">
        <v>1114</v>
      </c>
      <c r="K151" s="2"/>
      <c r="L151" s="2"/>
      <c r="M151" s="2"/>
      <c r="N151" s="2"/>
      <c r="O151" s="2"/>
      <c r="P151" s="2"/>
      <c r="Q151" s="4" t="s">
        <v>1115</v>
      </c>
      <c r="R151" s="2"/>
      <c r="S151" s="2" t="s">
        <v>1116</v>
      </c>
      <c r="T151" s="2" t="s">
        <v>1117</v>
      </c>
      <c r="V151" s="5" t="str">
        <f t="shared" si="4"/>
        <v/>
      </c>
      <c r="W151" s="6"/>
    </row>
  </sheetData>
  <conditionalFormatting sqref="U2:U151">
    <cfRule type="expression" dxfId="2" priority="1">
      <formula>U2="credible_renewal"</formula>
    </cfRule>
    <cfRule type="expression" dxfId="1" priority="2">
      <formula>U2="not_credible_false_positive"</formula>
    </cfRule>
    <cfRule type="expression" dxfId="0" priority="3">
      <formula>U2="doubtful_but_possible"</formula>
    </cfRule>
  </conditionalFormatting>
  <dataValidations count="2">
    <dataValidation type="list" allowBlank="1" showInputMessage="1" promptTitle="Choose decision" prompt="Pick one value from the list" sqref="U2:U151" xr:uid="{00000000-0002-0000-0000-000000000000}">
      <formula1>"credible_renewal,doubtful_but_possible,not_credible_false_positive,plausible_censored,missed_renewal_false_negative,impossible_to_judge"</formula1>
    </dataValidation>
    <dataValidation type="list" allowBlank="1" sqref="X2:Y151" xr:uid="{00000000-0002-0000-0000-000001000000}">
      <formula1>"yes,no"</formula1>
    </dataValidation>
  </dataValidations>
  <hyperlinks>
    <hyperlink ref="Q2" r:id="rId1" xr:uid="{00000000-0004-0000-0000-000000000000}"/>
    <hyperlink ref="Q3" r:id="rId2" xr:uid="{00000000-0004-0000-0000-000001000000}"/>
    <hyperlink ref="R3" r:id="rId3" xr:uid="{00000000-0004-0000-0000-000002000000}"/>
    <hyperlink ref="Q4" r:id="rId4" xr:uid="{00000000-0004-0000-0000-000003000000}"/>
    <hyperlink ref="R4" r:id="rId5" xr:uid="{00000000-0004-0000-0000-000004000000}"/>
    <hyperlink ref="Q5" r:id="rId6" xr:uid="{00000000-0004-0000-0000-000005000000}"/>
    <hyperlink ref="Q6" r:id="rId7" xr:uid="{00000000-0004-0000-0000-000006000000}"/>
    <hyperlink ref="Q7" r:id="rId8" xr:uid="{00000000-0004-0000-0000-000007000000}"/>
    <hyperlink ref="R7" r:id="rId9" xr:uid="{00000000-0004-0000-0000-000008000000}"/>
    <hyperlink ref="Q8" r:id="rId10" xr:uid="{00000000-0004-0000-0000-000009000000}"/>
    <hyperlink ref="Q9" r:id="rId11" xr:uid="{00000000-0004-0000-0000-00000A000000}"/>
    <hyperlink ref="R9" r:id="rId12" xr:uid="{00000000-0004-0000-0000-00000B000000}"/>
    <hyperlink ref="Q10" r:id="rId13" xr:uid="{00000000-0004-0000-0000-00000C000000}"/>
    <hyperlink ref="Q11" r:id="rId14" xr:uid="{00000000-0004-0000-0000-00000D000000}"/>
    <hyperlink ref="Q12" r:id="rId15" xr:uid="{00000000-0004-0000-0000-00000E000000}"/>
    <hyperlink ref="R12" r:id="rId16" xr:uid="{00000000-0004-0000-0000-00000F000000}"/>
    <hyperlink ref="Q13" r:id="rId17" xr:uid="{00000000-0004-0000-0000-000010000000}"/>
    <hyperlink ref="R13" r:id="rId18" xr:uid="{00000000-0004-0000-0000-000011000000}"/>
    <hyperlink ref="Q14" r:id="rId19" xr:uid="{00000000-0004-0000-0000-000012000000}"/>
    <hyperlink ref="R14" r:id="rId20" xr:uid="{00000000-0004-0000-0000-000013000000}"/>
    <hyperlink ref="Q15" r:id="rId21" xr:uid="{00000000-0004-0000-0000-000014000000}"/>
    <hyperlink ref="R15" r:id="rId22" xr:uid="{00000000-0004-0000-0000-000015000000}"/>
    <hyperlink ref="Q16" r:id="rId23" xr:uid="{00000000-0004-0000-0000-000016000000}"/>
    <hyperlink ref="R16" r:id="rId24" xr:uid="{00000000-0004-0000-0000-000017000000}"/>
    <hyperlink ref="Q17" r:id="rId25" xr:uid="{00000000-0004-0000-0000-000018000000}"/>
    <hyperlink ref="Q18" r:id="rId26" xr:uid="{00000000-0004-0000-0000-000019000000}"/>
    <hyperlink ref="Q19" r:id="rId27" xr:uid="{00000000-0004-0000-0000-00001A000000}"/>
    <hyperlink ref="Q20" r:id="rId28" xr:uid="{00000000-0004-0000-0000-00001B000000}"/>
    <hyperlink ref="Q21" r:id="rId29" xr:uid="{00000000-0004-0000-0000-00001C000000}"/>
    <hyperlink ref="R21" r:id="rId30" xr:uid="{00000000-0004-0000-0000-00001D000000}"/>
    <hyperlink ref="Q22" r:id="rId31" xr:uid="{00000000-0004-0000-0000-00001E000000}"/>
    <hyperlink ref="R22" r:id="rId32" xr:uid="{00000000-0004-0000-0000-00001F000000}"/>
    <hyperlink ref="Q23" r:id="rId33" xr:uid="{00000000-0004-0000-0000-000020000000}"/>
    <hyperlink ref="R23" r:id="rId34" xr:uid="{00000000-0004-0000-0000-000021000000}"/>
    <hyperlink ref="Q24" r:id="rId35" xr:uid="{00000000-0004-0000-0000-000022000000}"/>
    <hyperlink ref="R24" r:id="rId36" xr:uid="{00000000-0004-0000-0000-000023000000}"/>
    <hyperlink ref="Q25" r:id="rId37" xr:uid="{00000000-0004-0000-0000-000024000000}"/>
    <hyperlink ref="R25" r:id="rId38" xr:uid="{00000000-0004-0000-0000-000025000000}"/>
    <hyperlink ref="Q26" r:id="rId39" xr:uid="{00000000-0004-0000-0000-000026000000}"/>
    <hyperlink ref="R26" r:id="rId40" xr:uid="{00000000-0004-0000-0000-000027000000}"/>
    <hyperlink ref="Q27" r:id="rId41" xr:uid="{00000000-0004-0000-0000-000028000000}"/>
    <hyperlink ref="R27" r:id="rId42" xr:uid="{00000000-0004-0000-0000-000029000000}"/>
    <hyperlink ref="Q28" r:id="rId43" xr:uid="{00000000-0004-0000-0000-00002A000000}"/>
    <hyperlink ref="R28" r:id="rId44" xr:uid="{00000000-0004-0000-0000-00002B000000}"/>
    <hyperlink ref="Q29" r:id="rId45" xr:uid="{00000000-0004-0000-0000-00002C000000}"/>
    <hyperlink ref="R29" r:id="rId46" xr:uid="{00000000-0004-0000-0000-00002D000000}"/>
    <hyperlink ref="Q30" r:id="rId47" xr:uid="{00000000-0004-0000-0000-00002E000000}"/>
    <hyperlink ref="R30" r:id="rId48" xr:uid="{00000000-0004-0000-0000-00002F000000}"/>
    <hyperlink ref="Q31" r:id="rId49" xr:uid="{00000000-0004-0000-0000-000030000000}"/>
    <hyperlink ref="R31" r:id="rId50" xr:uid="{00000000-0004-0000-0000-000031000000}"/>
    <hyperlink ref="Q32" r:id="rId51" xr:uid="{00000000-0004-0000-0000-000032000000}"/>
    <hyperlink ref="R32" r:id="rId52" xr:uid="{00000000-0004-0000-0000-000033000000}"/>
    <hyperlink ref="Q33" r:id="rId53" xr:uid="{00000000-0004-0000-0000-000034000000}"/>
    <hyperlink ref="R33" r:id="rId54" xr:uid="{00000000-0004-0000-0000-000035000000}"/>
    <hyperlink ref="Q34" r:id="rId55" xr:uid="{00000000-0004-0000-0000-000036000000}"/>
    <hyperlink ref="Q35" r:id="rId56" xr:uid="{00000000-0004-0000-0000-000037000000}"/>
    <hyperlink ref="R35" r:id="rId57" xr:uid="{00000000-0004-0000-0000-000038000000}"/>
    <hyperlink ref="Q36" r:id="rId58" xr:uid="{00000000-0004-0000-0000-000039000000}"/>
    <hyperlink ref="R36" r:id="rId59" xr:uid="{00000000-0004-0000-0000-00003A000000}"/>
    <hyperlink ref="Q37" r:id="rId60" xr:uid="{00000000-0004-0000-0000-00003B000000}"/>
    <hyperlink ref="R37" r:id="rId61" xr:uid="{00000000-0004-0000-0000-00003C000000}"/>
    <hyperlink ref="Q38" r:id="rId62" xr:uid="{00000000-0004-0000-0000-00003D000000}"/>
    <hyperlink ref="R38" r:id="rId63" xr:uid="{00000000-0004-0000-0000-00003E000000}"/>
    <hyperlink ref="Q39" r:id="rId64" xr:uid="{00000000-0004-0000-0000-00003F000000}"/>
    <hyperlink ref="R39" r:id="rId65" xr:uid="{00000000-0004-0000-0000-000040000000}"/>
    <hyperlink ref="Q40" r:id="rId66" xr:uid="{00000000-0004-0000-0000-000041000000}"/>
    <hyperlink ref="R40" r:id="rId67" xr:uid="{00000000-0004-0000-0000-000042000000}"/>
    <hyperlink ref="Q41" r:id="rId68" xr:uid="{00000000-0004-0000-0000-000043000000}"/>
    <hyperlink ref="R41" r:id="rId69" xr:uid="{00000000-0004-0000-0000-000044000000}"/>
    <hyperlink ref="Q42" r:id="rId70" xr:uid="{00000000-0004-0000-0000-000045000000}"/>
    <hyperlink ref="R42" r:id="rId71" xr:uid="{00000000-0004-0000-0000-000046000000}"/>
    <hyperlink ref="Q43" r:id="rId72" xr:uid="{00000000-0004-0000-0000-000047000000}"/>
    <hyperlink ref="Q44" r:id="rId73" xr:uid="{00000000-0004-0000-0000-000048000000}"/>
    <hyperlink ref="Q45" r:id="rId74" xr:uid="{00000000-0004-0000-0000-000049000000}"/>
    <hyperlink ref="R45" r:id="rId75" xr:uid="{00000000-0004-0000-0000-00004A000000}"/>
    <hyperlink ref="Q46" r:id="rId76" xr:uid="{00000000-0004-0000-0000-00004B000000}"/>
    <hyperlink ref="R46" r:id="rId77" xr:uid="{00000000-0004-0000-0000-00004C000000}"/>
    <hyperlink ref="Q47" r:id="rId78" xr:uid="{00000000-0004-0000-0000-00004D000000}"/>
    <hyperlink ref="Q48" r:id="rId79" xr:uid="{00000000-0004-0000-0000-00004E000000}"/>
    <hyperlink ref="R48" r:id="rId80" xr:uid="{00000000-0004-0000-0000-00004F000000}"/>
    <hyperlink ref="Q49" r:id="rId81" xr:uid="{00000000-0004-0000-0000-000050000000}"/>
    <hyperlink ref="R49" r:id="rId82" xr:uid="{00000000-0004-0000-0000-000051000000}"/>
    <hyperlink ref="Q50" r:id="rId83" xr:uid="{00000000-0004-0000-0000-000052000000}"/>
    <hyperlink ref="Q51" r:id="rId84" xr:uid="{00000000-0004-0000-0000-000053000000}"/>
    <hyperlink ref="R51" r:id="rId85" xr:uid="{00000000-0004-0000-0000-000054000000}"/>
    <hyperlink ref="Q52" r:id="rId86" xr:uid="{00000000-0004-0000-0000-000055000000}"/>
    <hyperlink ref="Q53" r:id="rId87" xr:uid="{00000000-0004-0000-0000-000056000000}"/>
    <hyperlink ref="R53" r:id="rId88" xr:uid="{00000000-0004-0000-0000-000057000000}"/>
    <hyperlink ref="Q54" r:id="rId89" xr:uid="{00000000-0004-0000-0000-000058000000}"/>
    <hyperlink ref="Q55" r:id="rId90" xr:uid="{00000000-0004-0000-0000-000059000000}"/>
    <hyperlink ref="R55" r:id="rId91" xr:uid="{00000000-0004-0000-0000-00005A000000}"/>
    <hyperlink ref="Q56" r:id="rId92" xr:uid="{00000000-0004-0000-0000-00005B000000}"/>
    <hyperlink ref="R56" r:id="rId93" xr:uid="{00000000-0004-0000-0000-00005C000000}"/>
    <hyperlink ref="Q57" r:id="rId94" xr:uid="{00000000-0004-0000-0000-00005D000000}"/>
    <hyperlink ref="Q58" r:id="rId95" xr:uid="{00000000-0004-0000-0000-00005E000000}"/>
    <hyperlink ref="R58" r:id="rId96" xr:uid="{00000000-0004-0000-0000-00005F000000}"/>
    <hyperlink ref="Q59" r:id="rId97" xr:uid="{00000000-0004-0000-0000-000060000000}"/>
    <hyperlink ref="R59" r:id="rId98" xr:uid="{00000000-0004-0000-0000-000061000000}"/>
    <hyperlink ref="Q60" r:id="rId99" xr:uid="{00000000-0004-0000-0000-000062000000}"/>
    <hyperlink ref="R60" r:id="rId100" xr:uid="{00000000-0004-0000-0000-000063000000}"/>
    <hyperlink ref="Q61" r:id="rId101" xr:uid="{00000000-0004-0000-0000-000064000000}"/>
    <hyperlink ref="Q62" r:id="rId102" xr:uid="{00000000-0004-0000-0000-000065000000}"/>
    <hyperlink ref="R62" r:id="rId103" xr:uid="{00000000-0004-0000-0000-000066000000}"/>
    <hyperlink ref="Q63" r:id="rId104" xr:uid="{00000000-0004-0000-0000-000067000000}"/>
    <hyperlink ref="R63" r:id="rId105" xr:uid="{00000000-0004-0000-0000-000068000000}"/>
    <hyperlink ref="Q64" r:id="rId106" xr:uid="{00000000-0004-0000-0000-000069000000}"/>
    <hyperlink ref="R64" r:id="rId107" xr:uid="{00000000-0004-0000-0000-00006A000000}"/>
    <hyperlink ref="Q65" r:id="rId108" xr:uid="{00000000-0004-0000-0000-00006B000000}"/>
    <hyperlink ref="R65" r:id="rId109" xr:uid="{00000000-0004-0000-0000-00006C000000}"/>
    <hyperlink ref="Q66" r:id="rId110" xr:uid="{00000000-0004-0000-0000-00006D000000}"/>
    <hyperlink ref="Q67" r:id="rId111" xr:uid="{00000000-0004-0000-0000-00006E000000}"/>
    <hyperlink ref="R67" r:id="rId112" xr:uid="{00000000-0004-0000-0000-00006F000000}"/>
    <hyperlink ref="Q68" r:id="rId113" xr:uid="{00000000-0004-0000-0000-000070000000}"/>
    <hyperlink ref="Q69" r:id="rId114" xr:uid="{00000000-0004-0000-0000-000071000000}"/>
    <hyperlink ref="R69" r:id="rId115" xr:uid="{00000000-0004-0000-0000-000072000000}"/>
    <hyperlink ref="Q70" r:id="rId116" xr:uid="{00000000-0004-0000-0000-000073000000}"/>
    <hyperlink ref="R70" r:id="rId117" xr:uid="{00000000-0004-0000-0000-000074000000}"/>
    <hyperlink ref="Q71" r:id="rId118" xr:uid="{00000000-0004-0000-0000-000075000000}"/>
    <hyperlink ref="Q72" r:id="rId119" xr:uid="{00000000-0004-0000-0000-000076000000}"/>
    <hyperlink ref="R72" r:id="rId120" xr:uid="{00000000-0004-0000-0000-000077000000}"/>
    <hyperlink ref="Q73" r:id="rId121" xr:uid="{00000000-0004-0000-0000-000078000000}"/>
    <hyperlink ref="R73" r:id="rId122" xr:uid="{00000000-0004-0000-0000-000079000000}"/>
    <hyperlink ref="Q74" r:id="rId123" xr:uid="{00000000-0004-0000-0000-00007A000000}"/>
    <hyperlink ref="R74" r:id="rId124" xr:uid="{00000000-0004-0000-0000-00007B000000}"/>
    <hyperlink ref="Q75" r:id="rId125" xr:uid="{00000000-0004-0000-0000-00007C000000}"/>
    <hyperlink ref="Q76" r:id="rId126" xr:uid="{00000000-0004-0000-0000-00007D000000}"/>
    <hyperlink ref="Q77" r:id="rId127" xr:uid="{00000000-0004-0000-0000-00007E000000}"/>
    <hyperlink ref="Q78" r:id="rId128" xr:uid="{00000000-0004-0000-0000-00007F000000}"/>
    <hyperlink ref="R78" r:id="rId129" xr:uid="{00000000-0004-0000-0000-000080000000}"/>
    <hyperlink ref="Q79" r:id="rId130" xr:uid="{00000000-0004-0000-0000-000081000000}"/>
    <hyperlink ref="R79" r:id="rId131" xr:uid="{00000000-0004-0000-0000-000082000000}"/>
    <hyperlink ref="Q80" r:id="rId132" xr:uid="{00000000-0004-0000-0000-000083000000}"/>
    <hyperlink ref="R80" r:id="rId133" xr:uid="{00000000-0004-0000-0000-000084000000}"/>
    <hyperlink ref="Q81" r:id="rId134" xr:uid="{00000000-0004-0000-0000-000085000000}"/>
    <hyperlink ref="Q82" r:id="rId135" xr:uid="{00000000-0004-0000-0000-000086000000}"/>
    <hyperlink ref="R82" r:id="rId136" xr:uid="{00000000-0004-0000-0000-000087000000}"/>
    <hyperlink ref="Q83" r:id="rId137" xr:uid="{00000000-0004-0000-0000-000088000000}"/>
    <hyperlink ref="R83" r:id="rId138" xr:uid="{00000000-0004-0000-0000-000089000000}"/>
    <hyperlink ref="Q84" r:id="rId139" xr:uid="{00000000-0004-0000-0000-00008A000000}"/>
    <hyperlink ref="R84" r:id="rId140" xr:uid="{00000000-0004-0000-0000-00008B000000}"/>
    <hyperlink ref="Q85" r:id="rId141" xr:uid="{00000000-0004-0000-0000-00008C000000}"/>
    <hyperlink ref="Q86" r:id="rId142" xr:uid="{00000000-0004-0000-0000-00008D000000}"/>
    <hyperlink ref="Q87" r:id="rId143" xr:uid="{00000000-0004-0000-0000-00008E000000}"/>
    <hyperlink ref="R87" r:id="rId144" xr:uid="{00000000-0004-0000-0000-00008F000000}"/>
    <hyperlink ref="Q88" r:id="rId145" xr:uid="{00000000-0004-0000-0000-000090000000}"/>
    <hyperlink ref="R88" r:id="rId146" xr:uid="{00000000-0004-0000-0000-000091000000}"/>
    <hyperlink ref="Q89" r:id="rId147" xr:uid="{00000000-0004-0000-0000-000092000000}"/>
    <hyperlink ref="R89" r:id="rId148" xr:uid="{00000000-0004-0000-0000-000093000000}"/>
    <hyperlink ref="Q90" r:id="rId149" xr:uid="{00000000-0004-0000-0000-000094000000}"/>
    <hyperlink ref="R90" r:id="rId150" xr:uid="{00000000-0004-0000-0000-000095000000}"/>
    <hyperlink ref="Q91" r:id="rId151" xr:uid="{00000000-0004-0000-0000-000096000000}"/>
    <hyperlink ref="Q92" r:id="rId152" xr:uid="{00000000-0004-0000-0000-000097000000}"/>
    <hyperlink ref="Q93" r:id="rId153" xr:uid="{00000000-0004-0000-0000-000098000000}"/>
    <hyperlink ref="R93" r:id="rId154" xr:uid="{00000000-0004-0000-0000-000099000000}"/>
    <hyperlink ref="Q94" r:id="rId155" xr:uid="{00000000-0004-0000-0000-00009A000000}"/>
    <hyperlink ref="Q95" r:id="rId156" xr:uid="{00000000-0004-0000-0000-00009B000000}"/>
    <hyperlink ref="R95" r:id="rId157" xr:uid="{00000000-0004-0000-0000-00009C000000}"/>
    <hyperlink ref="Q96" r:id="rId158" xr:uid="{00000000-0004-0000-0000-00009D000000}"/>
    <hyperlink ref="R96" r:id="rId159" xr:uid="{00000000-0004-0000-0000-00009E000000}"/>
    <hyperlink ref="Q97" r:id="rId160" xr:uid="{00000000-0004-0000-0000-00009F000000}"/>
    <hyperlink ref="Q98" r:id="rId161" xr:uid="{00000000-0004-0000-0000-0000A0000000}"/>
    <hyperlink ref="R98" r:id="rId162" xr:uid="{00000000-0004-0000-0000-0000A1000000}"/>
    <hyperlink ref="Q99" r:id="rId163" xr:uid="{00000000-0004-0000-0000-0000A2000000}"/>
    <hyperlink ref="R99" r:id="rId164" xr:uid="{00000000-0004-0000-0000-0000A3000000}"/>
    <hyperlink ref="Q100" r:id="rId165" xr:uid="{00000000-0004-0000-0000-0000A4000000}"/>
    <hyperlink ref="R100" r:id="rId166" xr:uid="{00000000-0004-0000-0000-0000A5000000}"/>
    <hyperlink ref="Q101" r:id="rId167" xr:uid="{00000000-0004-0000-0000-0000A6000000}"/>
    <hyperlink ref="R101" r:id="rId168" xr:uid="{00000000-0004-0000-0000-0000A7000000}"/>
    <hyperlink ref="Q102" r:id="rId169" xr:uid="{00000000-0004-0000-0000-0000A8000000}"/>
    <hyperlink ref="R102" r:id="rId170" xr:uid="{00000000-0004-0000-0000-0000A9000000}"/>
    <hyperlink ref="Q103" r:id="rId171" xr:uid="{00000000-0004-0000-0000-0000AA000000}"/>
    <hyperlink ref="R103" r:id="rId172" xr:uid="{00000000-0004-0000-0000-0000AB000000}"/>
    <hyperlink ref="Q104" r:id="rId173" xr:uid="{00000000-0004-0000-0000-0000AC000000}"/>
    <hyperlink ref="R104" r:id="rId174" xr:uid="{00000000-0004-0000-0000-0000AD000000}"/>
    <hyperlink ref="Q105" r:id="rId175" xr:uid="{00000000-0004-0000-0000-0000AE000000}"/>
    <hyperlink ref="Q106" r:id="rId176" xr:uid="{00000000-0004-0000-0000-0000AF000000}"/>
    <hyperlink ref="R106" r:id="rId177" xr:uid="{00000000-0004-0000-0000-0000B0000000}"/>
    <hyperlink ref="Q107" r:id="rId178" xr:uid="{00000000-0004-0000-0000-0000B1000000}"/>
    <hyperlink ref="R107" r:id="rId179" xr:uid="{00000000-0004-0000-0000-0000B2000000}"/>
    <hyperlink ref="Q108" r:id="rId180" xr:uid="{00000000-0004-0000-0000-0000B3000000}"/>
    <hyperlink ref="R108" r:id="rId181" xr:uid="{00000000-0004-0000-0000-0000B4000000}"/>
    <hyperlink ref="Q109" r:id="rId182" xr:uid="{00000000-0004-0000-0000-0000B5000000}"/>
    <hyperlink ref="Q110" r:id="rId183" xr:uid="{00000000-0004-0000-0000-0000B6000000}"/>
    <hyperlink ref="R110" r:id="rId184" xr:uid="{00000000-0004-0000-0000-0000B7000000}"/>
    <hyperlink ref="Q111" r:id="rId185" xr:uid="{00000000-0004-0000-0000-0000B8000000}"/>
    <hyperlink ref="Q112" r:id="rId186" xr:uid="{00000000-0004-0000-0000-0000B9000000}"/>
    <hyperlink ref="R112" r:id="rId187" xr:uid="{00000000-0004-0000-0000-0000BA000000}"/>
    <hyperlink ref="Q113" r:id="rId188" xr:uid="{00000000-0004-0000-0000-0000BB000000}"/>
    <hyperlink ref="R113" r:id="rId189" xr:uid="{00000000-0004-0000-0000-0000BC000000}"/>
    <hyperlink ref="Q114" r:id="rId190" xr:uid="{00000000-0004-0000-0000-0000BD000000}"/>
    <hyperlink ref="R114" r:id="rId191" xr:uid="{00000000-0004-0000-0000-0000BE000000}"/>
    <hyperlink ref="Q115" r:id="rId192" xr:uid="{00000000-0004-0000-0000-0000BF000000}"/>
    <hyperlink ref="R115" r:id="rId193" xr:uid="{00000000-0004-0000-0000-0000C0000000}"/>
    <hyperlink ref="Q116" r:id="rId194" xr:uid="{00000000-0004-0000-0000-0000C1000000}"/>
    <hyperlink ref="R116" r:id="rId195" xr:uid="{00000000-0004-0000-0000-0000C2000000}"/>
    <hyperlink ref="Q117" r:id="rId196" xr:uid="{00000000-0004-0000-0000-0000C3000000}"/>
    <hyperlink ref="R117" r:id="rId197" xr:uid="{00000000-0004-0000-0000-0000C4000000}"/>
    <hyperlink ref="Q118" r:id="rId198" xr:uid="{00000000-0004-0000-0000-0000C5000000}"/>
    <hyperlink ref="Q119" r:id="rId199" xr:uid="{00000000-0004-0000-0000-0000C6000000}"/>
    <hyperlink ref="R119" r:id="rId200" xr:uid="{00000000-0004-0000-0000-0000C7000000}"/>
    <hyperlink ref="Q120" r:id="rId201" xr:uid="{00000000-0004-0000-0000-0000C8000000}"/>
    <hyperlink ref="Q121" r:id="rId202" xr:uid="{00000000-0004-0000-0000-0000C9000000}"/>
    <hyperlink ref="Q122" r:id="rId203" xr:uid="{00000000-0004-0000-0000-0000CA000000}"/>
    <hyperlink ref="Q123" r:id="rId204" xr:uid="{00000000-0004-0000-0000-0000CB000000}"/>
    <hyperlink ref="R123" r:id="rId205" xr:uid="{00000000-0004-0000-0000-0000CC000000}"/>
    <hyperlink ref="Q124" r:id="rId206" xr:uid="{00000000-0004-0000-0000-0000CD000000}"/>
    <hyperlink ref="Q125" r:id="rId207" xr:uid="{00000000-0004-0000-0000-0000CE000000}"/>
    <hyperlink ref="Q126" r:id="rId208" xr:uid="{00000000-0004-0000-0000-0000CF000000}"/>
    <hyperlink ref="R126" r:id="rId209" xr:uid="{00000000-0004-0000-0000-0000D0000000}"/>
    <hyperlink ref="Q127" r:id="rId210" xr:uid="{00000000-0004-0000-0000-0000D1000000}"/>
    <hyperlink ref="Q128" r:id="rId211" xr:uid="{00000000-0004-0000-0000-0000D2000000}"/>
    <hyperlink ref="R128" r:id="rId212" xr:uid="{00000000-0004-0000-0000-0000D3000000}"/>
    <hyperlink ref="Q129" r:id="rId213" xr:uid="{00000000-0004-0000-0000-0000D4000000}"/>
    <hyperlink ref="R129" r:id="rId214" xr:uid="{00000000-0004-0000-0000-0000D5000000}"/>
    <hyperlink ref="Q130" r:id="rId215" xr:uid="{00000000-0004-0000-0000-0000D6000000}"/>
    <hyperlink ref="R130" r:id="rId216" xr:uid="{00000000-0004-0000-0000-0000D7000000}"/>
    <hyperlink ref="Q131" r:id="rId217" xr:uid="{00000000-0004-0000-0000-0000D8000000}"/>
    <hyperlink ref="Q132" r:id="rId218" xr:uid="{00000000-0004-0000-0000-0000D9000000}"/>
    <hyperlink ref="R132" r:id="rId219" xr:uid="{00000000-0004-0000-0000-0000DA000000}"/>
    <hyperlink ref="Q133" r:id="rId220" xr:uid="{00000000-0004-0000-0000-0000DB000000}"/>
    <hyperlink ref="R133" r:id="rId221" xr:uid="{00000000-0004-0000-0000-0000DC000000}"/>
    <hyperlink ref="Q134" r:id="rId222" xr:uid="{00000000-0004-0000-0000-0000DD000000}"/>
    <hyperlink ref="R134" r:id="rId223" xr:uid="{00000000-0004-0000-0000-0000DE000000}"/>
    <hyperlink ref="Q135" r:id="rId224" xr:uid="{00000000-0004-0000-0000-0000DF000000}"/>
    <hyperlink ref="R135" r:id="rId225" xr:uid="{00000000-0004-0000-0000-0000E0000000}"/>
    <hyperlink ref="Q136" r:id="rId226" xr:uid="{00000000-0004-0000-0000-0000E1000000}"/>
    <hyperlink ref="R136" r:id="rId227" xr:uid="{00000000-0004-0000-0000-0000E2000000}"/>
    <hyperlink ref="Q137" r:id="rId228" xr:uid="{00000000-0004-0000-0000-0000E3000000}"/>
    <hyperlink ref="R137" r:id="rId229" xr:uid="{00000000-0004-0000-0000-0000E4000000}"/>
    <hyperlink ref="Q138" r:id="rId230" xr:uid="{00000000-0004-0000-0000-0000E5000000}"/>
    <hyperlink ref="R138" r:id="rId231" xr:uid="{00000000-0004-0000-0000-0000E6000000}"/>
    <hyperlink ref="Q139" r:id="rId232" xr:uid="{00000000-0004-0000-0000-0000E7000000}"/>
    <hyperlink ref="Q140" r:id="rId233" xr:uid="{00000000-0004-0000-0000-0000E8000000}"/>
    <hyperlink ref="Q141" r:id="rId234" xr:uid="{00000000-0004-0000-0000-0000E9000000}"/>
    <hyperlink ref="R141" r:id="rId235" xr:uid="{00000000-0004-0000-0000-0000EA000000}"/>
    <hyperlink ref="Q142" r:id="rId236" xr:uid="{00000000-0004-0000-0000-0000EB000000}"/>
    <hyperlink ref="Q143" r:id="rId237" xr:uid="{00000000-0004-0000-0000-0000EC000000}"/>
    <hyperlink ref="Q144" r:id="rId238" xr:uid="{00000000-0004-0000-0000-0000ED000000}"/>
    <hyperlink ref="R144" r:id="rId239" xr:uid="{00000000-0004-0000-0000-0000EE000000}"/>
    <hyperlink ref="Q145" r:id="rId240" xr:uid="{00000000-0004-0000-0000-0000EF000000}"/>
    <hyperlink ref="R145" r:id="rId241" xr:uid="{00000000-0004-0000-0000-0000F0000000}"/>
    <hyperlink ref="Q146" r:id="rId242" xr:uid="{00000000-0004-0000-0000-0000F1000000}"/>
    <hyperlink ref="R146" r:id="rId243" xr:uid="{00000000-0004-0000-0000-0000F2000000}"/>
    <hyperlink ref="Q147" r:id="rId244" xr:uid="{00000000-0004-0000-0000-0000F3000000}"/>
    <hyperlink ref="Q148" r:id="rId245" xr:uid="{00000000-0004-0000-0000-0000F4000000}"/>
    <hyperlink ref="R148" r:id="rId246" xr:uid="{00000000-0004-0000-0000-0000F5000000}"/>
    <hyperlink ref="Q149" r:id="rId247" xr:uid="{00000000-0004-0000-0000-0000F6000000}"/>
    <hyperlink ref="R149" r:id="rId248" xr:uid="{00000000-0004-0000-0000-0000F7000000}"/>
    <hyperlink ref="Q150" r:id="rId249" xr:uid="{00000000-0004-0000-0000-0000F8000000}"/>
    <hyperlink ref="Q151" r:id="rId250" xr:uid="{00000000-0004-0000-0000-0000F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1"/>
  <sheetViews>
    <sheetView workbookViewId="0">
      <pane ySplit="1" topLeftCell="A2" activePane="bottomLeft" state="frozen"/>
      <selection pane="bottomLeft" activeCell="F14" sqref="F14"/>
    </sheetView>
  </sheetViews>
  <sheetFormatPr baseColWidth="10" defaultColWidth="8.88671875" defaultRowHeight="14.4" x14ac:dyDescent="0.3"/>
  <cols>
    <col min="1" max="1" width="7.33203125" bestFit="1" customWidth="1"/>
    <col min="2" max="2" width="13.88671875" bestFit="1" customWidth="1"/>
    <col min="3" max="3" width="5.5546875" bestFit="1" customWidth="1"/>
    <col min="4" max="4" width="13.88671875" bestFit="1" customWidth="1"/>
    <col min="5" max="5" width="35.109375" bestFit="1" customWidth="1"/>
    <col min="6" max="6" width="34" bestFit="1" customWidth="1"/>
    <col min="7" max="7" width="165.109375" bestFit="1" customWidth="1"/>
    <col min="8" max="8" width="159.44140625" bestFit="1" customWidth="1"/>
    <col min="9" max="9" width="9.77734375" bestFit="1" customWidth="1"/>
    <col min="10" max="10" width="12.21875" bestFit="1" customWidth="1"/>
    <col min="11" max="11" width="27.33203125" bestFit="1" customWidth="1"/>
    <col min="12" max="12" width="9.109375" bestFit="1" customWidth="1"/>
    <col min="13" max="13" width="13.77734375" bestFit="1" customWidth="1"/>
    <col min="14" max="14" width="13.109375" bestFit="1" customWidth="1"/>
    <col min="15" max="16" width="13.88671875" bestFit="1" customWidth="1"/>
    <col min="17" max="17" width="13.77734375" bestFit="1" customWidth="1"/>
    <col min="18" max="18" width="12.33203125" bestFit="1" customWidth="1"/>
    <col min="19" max="19" width="8.77734375" bestFit="1" customWidth="1"/>
    <col min="20" max="20" width="13.33203125" bestFit="1" customWidth="1"/>
    <col min="21" max="21" width="11.5546875" bestFit="1" customWidth="1"/>
    <col min="22" max="22" width="11.33203125" bestFit="1" customWidth="1"/>
    <col min="23" max="23" width="14" customWidth="1"/>
    <col min="24" max="24" width="15.5546875" bestFit="1" customWidth="1"/>
    <col min="25" max="25" width="15.88671875" bestFit="1" customWidth="1"/>
    <col min="26" max="27" width="14" customWidth="1"/>
    <col min="28" max="28" width="14.109375" bestFit="1" customWidth="1"/>
    <col min="29" max="29" width="16.21875" bestFit="1" customWidth="1"/>
    <col min="30" max="30" width="12.109375" bestFit="1" customWidth="1"/>
    <col min="31" max="31" width="13.5546875" bestFit="1" customWidth="1"/>
    <col min="32" max="32" width="15" bestFit="1" customWidth="1"/>
  </cols>
  <sheetData>
    <row r="1" spans="1:32" ht="30" customHeight="1" x14ac:dyDescent="0.3">
      <c r="A1" s="1" t="s">
        <v>0</v>
      </c>
      <c r="B1" s="1" t="s">
        <v>1118</v>
      </c>
      <c r="C1" s="1" t="s">
        <v>1</v>
      </c>
      <c r="D1" s="1" t="s">
        <v>1119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1120</v>
      </c>
      <c r="L1" s="1" t="s">
        <v>8</v>
      </c>
      <c r="M1" s="1" t="s">
        <v>9</v>
      </c>
      <c r="N1" s="1" t="s">
        <v>10</v>
      </c>
      <c r="O1" s="1" t="s">
        <v>1121</v>
      </c>
      <c r="P1" s="1" t="s">
        <v>1122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1123</v>
      </c>
      <c r="W1" s="1" t="s">
        <v>1124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</row>
    <row r="2" spans="1:32" x14ac:dyDescent="0.3">
      <c r="A2" s="2" t="s">
        <v>25</v>
      </c>
      <c r="B2" s="2" t="s">
        <v>1125</v>
      </c>
      <c r="C2" s="2">
        <v>0</v>
      </c>
      <c r="D2" s="2"/>
      <c r="E2" s="2" t="s">
        <v>26</v>
      </c>
      <c r="F2" s="2"/>
      <c r="G2" s="2" t="s">
        <v>27</v>
      </c>
      <c r="H2" s="2"/>
      <c r="I2" s="2">
        <v>72</v>
      </c>
      <c r="J2" s="2"/>
      <c r="K2" s="2" t="s">
        <v>1126</v>
      </c>
      <c r="L2" s="2" t="s">
        <v>28</v>
      </c>
      <c r="M2" s="2" t="s">
        <v>29</v>
      </c>
      <c r="N2" s="2"/>
      <c r="O2" s="2">
        <v>44.25</v>
      </c>
      <c r="P2" s="2">
        <v>12</v>
      </c>
      <c r="Q2" s="2"/>
      <c r="R2" s="2"/>
      <c r="S2" s="2"/>
      <c r="T2" s="2"/>
      <c r="U2" s="2"/>
      <c r="V2" s="2">
        <v>0</v>
      </c>
      <c r="W2" s="2" t="b">
        <v>0</v>
      </c>
      <c r="X2" s="4" t="s">
        <v>30</v>
      </c>
      <c r="Y2" s="2"/>
      <c r="Z2" s="2"/>
      <c r="AA2" s="2"/>
      <c r="AC2" s="5" t="str">
        <f t="shared" ref="AC2:AC33" si="0">IF(AB2="credible_renewal","true_positive",IF(AB2="not_credible_false_positive","false_positive",IF(AB2="plausible_censored","true_negative_or_plausible_censored",IF(AB2="missed_renewal_false_negative","false_negative",IF(OR(AB2="doubtful_but_possible",AB2="impossible_to_judge"),"not_applicable","")))))</f>
        <v/>
      </c>
      <c r="AD2" s="10"/>
    </row>
    <row r="3" spans="1:32" x14ac:dyDescent="0.3">
      <c r="A3" s="7" t="s">
        <v>31</v>
      </c>
      <c r="B3" s="7" t="s">
        <v>1127</v>
      </c>
      <c r="C3" s="7">
        <v>1</v>
      </c>
      <c r="D3" s="7" t="s">
        <v>1128</v>
      </c>
      <c r="E3" s="7" t="s">
        <v>32</v>
      </c>
      <c r="F3" s="7" t="s">
        <v>32</v>
      </c>
      <c r="G3" s="7" t="s">
        <v>33</v>
      </c>
      <c r="H3" s="7" t="s">
        <v>34</v>
      </c>
      <c r="I3" s="7">
        <v>35113440</v>
      </c>
      <c r="J3" s="7">
        <v>35113430</v>
      </c>
      <c r="K3" s="7" t="s">
        <v>1129</v>
      </c>
      <c r="L3" s="7" t="s">
        <v>35</v>
      </c>
      <c r="M3" s="7" t="s">
        <v>36</v>
      </c>
      <c r="N3" s="7" t="s">
        <v>37</v>
      </c>
      <c r="O3" s="7">
        <v>11.04</v>
      </c>
      <c r="P3" s="7">
        <v>12</v>
      </c>
      <c r="Q3" s="7">
        <v>0.86990000000000001</v>
      </c>
      <c r="R3" s="7">
        <v>0.83979999999999999</v>
      </c>
      <c r="S3" s="7">
        <v>0.8</v>
      </c>
      <c r="T3" s="7">
        <v>0.91979999999999995</v>
      </c>
      <c r="U3" s="7">
        <v>0.45689999999999997</v>
      </c>
      <c r="V3" s="7">
        <v>6</v>
      </c>
      <c r="W3" s="7" t="b">
        <v>1</v>
      </c>
      <c r="X3" s="9" t="s">
        <v>38</v>
      </c>
      <c r="Y3" s="9" t="s">
        <v>39</v>
      </c>
      <c r="Z3" s="7"/>
      <c r="AA3" s="7"/>
      <c r="AC3" s="5" t="str">
        <f t="shared" si="0"/>
        <v/>
      </c>
      <c r="AD3" s="10"/>
    </row>
    <row r="4" spans="1:32" x14ac:dyDescent="0.3">
      <c r="A4" s="7" t="s">
        <v>40</v>
      </c>
      <c r="B4" s="7" t="s">
        <v>1130</v>
      </c>
      <c r="C4" s="7">
        <v>1</v>
      </c>
      <c r="D4" s="7" t="s">
        <v>1131</v>
      </c>
      <c r="E4" s="7" t="s">
        <v>41</v>
      </c>
      <c r="F4" s="7" t="s">
        <v>41</v>
      </c>
      <c r="G4" s="7" t="s">
        <v>42</v>
      </c>
      <c r="H4" s="7" t="s">
        <v>43</v>
      </c>
      <c r="I4" s="7">
        <v>72261000</v>
      </c>
      <c r="J4" s="7">
        <v>72261000</v>
      </c>
      <c r="K4" s="7" t="s">
        <v>1126</v>
      </c>
      <c r="L4" s="7" t="s">
        <v>44</v>
      </c>
      <c r="M4" s="7" t="s">
        <v>45</v>
      </c>
      <c r="N4" s="7" t="s">
        <v>46</v>
      </c>
      <c r="O4" s="7">
        <v>36.1</v>
      </c>
      <c r="P4" s="7">
        <v>48</v>
      </c>
      <c r="Q4" s="7">
        <v>0.74209999999999998</v>
      </c>
      <c r="R4" s="7">
        <v>0.85099999999999998</v>
      </c>
      <c r="S4" s="7">
        <v>1</v>
      </c>
      <c r="T4" s="7">
        <v>8.6999999999999994E-3</v>
      </c>
      <c r="U4" s="7">
        <v>0.19389999999999999</v>
      </c>
      <c r="V4" s="7">
        <v>11</v>
      </c>
      <c r="W4" s="7" t="b">
        <v>1</v>
      </c>
      <c r="X4" s="9" t="s">
        <v>47</v>
      </c>
      <c r="Y4" s="9" t="s">
        <v>48</v>
      </c>
      <c r="Z4" s="7"/>
      <c r="AA4" s="7"/>
      <c r="AC4" s="5" t="str">
        <f t="shared" si="0"/>
        <v/>
      </c>
      <c r="AD4" s="10"/>
    </row>
    <row r="5" spans="1:32" x14ac:dyDescent="0.3">
      <c r="A5" s="2" t="s">
        <v>49</v>
      </c>
      <c r="B5" s="2" t="s">
        <v>1132</v>
      </c>
      <c r="C5" s="2">
        <v>0</v>
      </c>
      <c r="D5" s="2"/>
      <c r="E5" s="2" t="s">
        <v>50</v>
      </c>
      <c r="F5" s="2"/>
      <c r="G5" s="2" t="s">
        <v>51</v>
      </c>
      <c r="H5" s="2"/>
      <c r="I5" s="2">
        <v>35</v>
      </c>
      <c r="J5" s="2"/>
      <c r="K5" s="2" t="s">
        <v>1129</v>
      </c>
      <c r="L5" s="2" t="s">
        <v>52</v>
      </c>
      <c r="M5" s="2" t="s">
        <v>53</v>
      </c>
      <c r="N5" s="2"/>
      <c r="O5" s="2">
        <v>60.38</v>
      </c>
      <c r="P5" s="2">
        <v>48</v>
      </c>
      <c r="Q5" s="2"/>
      <c r="R5" s="2"/>
      <c r="S5" s="2"/>
      <c r="T5" s="2"/>
      <c r="U5" s="2"/>
      <c r="V5" s="2">
        <v>0</v>
      </c>
      <c r="W5" s="2" t="b">
        <v>0</v>
      </c>
      <c r="X5" s="4" t="s">
        <v>54</v>
      </c>
      <c r="Y5" s="2"/>
      <c r="Z5" s="2"/>
      <c r="AA5" s="2"/>
      <c r="AC5" s="5" t="str">
        <f t="shared" si="0"/>
        <v/>
      </c>
      <c r="AD5" s="10"/>
    </row>
    <row r="6" spans="1:32" x14ac:dyDescent="0.3">
      <c r="A6" s="2" t="s">
        <v>55</v>
      </c>
      <c r="B6" s="2" t="s">
        <v>1133</v>
      </c>
      <c r="C6" s="2">
        <v>0</v>
      </c>
      <c r="D6" s="2"/>
      <c r="E6" s="2" t="s">
        <v>56</v>
      </c>
      <c r="F6" s="2"/>
      <c r="G6" s="2" t="s">
        <v>57</v>
      </c>
      <c r="H6" s="2"/>
      <c r="I6" s="2">
        <v>48</v>
      </c>
      <c r="J6" s="2"/>
      <c r="K6" s="2" t="s">
        <v>1134</v>
      </c>
      <c r="L6" s="2" t="s">
        <v>58</v>
      </c>
      <c r="M6" s="2" t="s">
        <v>59</v>
      </c>
      <c r="N6" s="2"/>
      <c r="O6" s="2">
        <v>94.28</v>
      </c>
      <c r="P6" s="2">
        <v>48</v>
      </c>
      <c r="Q6" s="2"/>
      <c r="R6" s="2"/>
      <c r="S6" s="2"/>
      <c r="T6" s="2"/>
      <c r="U6" s="2"/>
      <c r="V6" s="2">
        <v>0</v>
      </c>
      <c r="W6" s="2" t="b">
        <v>0</v>
      </c>
      <c r="X6" s="4" t="s">
        <v>60</v>
      </c>
      <c r="Y6" s="2"/>
      <c r="Z6" s="2"/>
      <c r="AA6" s="2"/>
      <c r="AC6" s="5" t="str">
        <f t="shared" si="0"/>
        <v/>
      </c>
      <c r="AD6" s="10"/>
    </row>
    <row r="7" spans="1:32" x14ac:dyDescent="0.3">
      <c r="A7" s="7" t="s">
        <v>61</v>
      </c>
      <c r="B7" s="7" t="s">
        <v>1135</v>
      </c>
      <c r="C7" s="7">
        <v>1</v>
      </c>
      <c r="D7" s="7" t="s">
        <v>1136</v>
      </c>
      <c r="E7" s="7" t="s">
        <v>62</v>
      </c>
      <c r="F7" s="7" t="s">
        <v>63</v>
      </c>
      <c r="G7" s="7" t="s">
        <v>64</v>
      </c>
      <c r="H7" s="7" t="s">
        <v>65</v>
      </c>
      <c r="I7" s="7">
        <v>48000000</v>
      </c>
      <c r="J7" s="7">
        <v>48000000</v>
      </c>
      <c r="K7" s="7" t="s">
        <v>1134</v>
      </c>
      <c r="L7" s="7" t="s">
        <v>66</v>
      </c>
      <c r="M7" s="7" t="s">
        <v>67</v>
      </c>
      <c r="N7" s="7" t="s">
        <v>68</v>
      </c>
      <c r="O7" s="7">
        <v>44.25</v>
      </c>
      <c r="P7" s="7">
        <v>48</v>
      </c>
      <c r="Q7" s="7">
        <v>0.53</v>
      </c>
      <c r="R7" s="7">
        <v>0.48110000000000003</v>
      </c>
      <c r="S7" s="7">
        <v>0.2</v>
      </c>
      <c r="T7" s="7">
        <v>0.68759999999999999</v>
      </c>
      <c r="U7" s="7">
        <v>2.7400000000000001E-2</v>
      </c>
      <c r="V7" s="7">
        <v>7</v>
      </c>
      <c r="W7" s="7" t="b">
        <v>0</v>
      </c>
      <c r="X7" s="9" t="s">
        <v>69</v>
      </c>
      <c r="Y7" s="9" t="s">
        <v>70</v>
      </c>
      <c r="Z7" s="7"/>
      <c r="AA7" s="7"/>
      <c r="AC7" s="5" t="str">
        <f t="shared" si="0"/>
        <v/>
      </c>
      <c r="AD7" s="10"/>
    </row>
    <row r="8" spans="1:32" x14ac:dyDescent="0.3">
      <c r="A8" s="2" t="s">
        <v>71</v>
      </c>
      <c r="B8" s="2" t="s">
        <v>1137</v>
      </c>
      <c r="C8" s="2">
        <v>0</v>
      </c>
      <c r="D8" s="2"/>
      <c r="E8" s="2" t="s">
        <v>72</v>
      </c>
      <c r="F8" s="2"/>
      <c r="G8" s="2" t="s">
        <v>73</v>
      </c>
      <c r="H8" s="2"/>
      <c r="I8" s="2">
        <v>32</v>
      </c>
      <c r="J8" s="2"/>
      <c r="K8" s="2" t="s">
        <v>1138</v>
      </c>
      <c r="L8" s="2" t="s">
        <v>74</v>
      </c>
      <c r="M8" s="2" t="s">
        <v>75</v>
      </c>
      <c r="N8" s="2"/>
      <c r="O8" s="2">
        <v>101.54</v>
      </c>
      <c r="P8" s="2">
        <v>48</v>
      </c>
      <c r="Q8" s="2"/>
      <c r="R8" s="2"/>
      <c r="S8" s="2"/>
      <c r="T8" s="2"/>
      <c r="U8" s="2"/>
      <c r="V8" s="2">
        <v>0</v>
      </c>
      <c r="W8" s="2" t="b">
        <v>0</v>
      </c>
      <c r="X8" s="4" t="s">
        <v>76</v>
      </c>
      <c r="Y8" s="2"/>
      <c r="Z8" s="2" t="s">
        <v>77</v>
      </c>
      <c r="AA8" s="2" t="s">
        <v>78</v>
      </c>
      <c r="AC8" s="5" t="str">
        <f t="shared" si="0"/>
        <v/>
      </c>
      <c r="AD8" s="10"/>
    </row>
    <row r="9" spans="1:32" x14ac:dyDescent="0.3">
      <c r="A9" s="7" t="s">
        <v>79</v>
      </c>
      <c r="B9" s="7" t="s">
        <v>1139</v>
      </c>
      <c r="C9" s="7">
        <v>1</v>
      </c>
      <c r="D9" s="7" t="s">
        <v>1140</v>
      </c>
      <c r="E9" s="7" t="s">
        <v>80</v>
      </c>
      <c r="F9" s="7" t="s">
        <v>80</v>
      </c>
      <c r="G9" s="7" t="s">
        <v>81</v>
      </c>
      <c r="H9" s="7" t="s">
        <v>82</v>
      </c>
      <c r="I9" s="7">
        <v>72212214</v>
      </c>
      <c r="J9" s="7">
        <v>72322000</v>
      </c>
      <c r="K9" s="7" t="s">
        <v>1141</v>
      </c>
      <c r="L9" s="7" t="s">
        <v>83</v>
      </c>
      <c r="M9" s="7" t="s">
        <v>84</v>
      </c>
      <c r="N9" s="7" t="s">
        <v>85</v>
      </c>
      <c r="O9" s="7">
        <v>49.34</v>
      </c>
      <c r="P9" s="7">
        <v>48</v>
      </c>
      <c r="Q9" s="7">
        <v>0.59209999999999996</v>
      </c>
      <c r="R9" s="7">
        <v>0.53610000000000002</v>
      </c>
      <c r="S9" s="7">
        <v>0.2</v>
      </c>
      <c r="T9" s="7">
        <v>0.8881</v>
      </c>
      <c r="U9" s="7">
        <v>0.10680000000000001</v>
      </c>
      <c r="V9" s="7">
        <v>7</v>
      </c>
      <c r="W9" s="7" t="b">
        <v>0</v>
      </c>
      <c r="X9" s="9" t="s">
        <v>86</v>
      </c>
      <c r="Y9" s="9" t="s">
        <v>87</v>
      </c>
      <c r="Z9" s="7"/>
      <c r="AA9" s="7"/>
      <c r="AC9" s="5" t="str">
        <f t="shared" si="0"/>
        <v/>
      </c>
      <c r="AD9" s="10"/>
    </row>
    <row r="10" spans="1:32" x14ac:dyDescent="0.3">
      <c r="A10" s="2" t="s">
        <v>88</v>
      </c>
      <c r="B10" s="2" t="s">
        <v>1142</v>
      </c>
      <c r="C10" s="2">
        <v>0</v>
      </c>
      <c r="D10" s="2"/>
      <c r="E10" s="2" t="s">
        <v>89</v>
      </c>
      <c r="F10" s="2"/>
      <c r="G10" s="2" t="s">
        <v>90</v>
      </c>
      <c r="H10" s="2"/>
      <c r="I10" s="2">
        <v>72</v>
      </c>
      <c r="J10" s="2"/>
      <c r="K10" s="2" t="s">
        <v>1126</v>
      </c>
      <c r="L10" s="2" t="s">
        <v>91</v>
      </c>
      <c r="M10" s="2" t="s">
        <v>92</v>
      </c>
      <c r="N10" s="2"/>
      <c r="O10" s="2">
        <v>87.55</v>
      </c>
      <c r="P10" s="2">
        <v>24</v>
      </c>
      <c r="Q10" s="2"/>
      <c r="R10" s="2"/>
      <c r="S10" s="2"/>
      <c r="T10" s="2"/>
      <c r="U10" s="2"/>
      <c r="V10" s="2">
        <v>0</v>
      </c>
      <c r="W10" s="2" t="b">
        <v>0</v>
      </c>
      <c r="X10" s="4" t="s">
        <v>93</v>
      </c>
      <c r="Y10" s="2"/>
      <c r="Z10" s="2"/>
      <c r="AA10" s="2"/>
      <c r="AC10" s="5" t="str">
        <f t="shared" si="0"/>
        <v/>
      </c>
      <c r="AD10" s="10"/>
    </row>
    <row r="11" spans="1:32" x14ac:dyDescent="0.3">
      <c r="A11" s="2" t="s">
        <v>94</v>
      </c>
      <c r="B11" s="2" t="s">
        <v>1143</v>
      </c>
      <c r="C11" s="2">
        <v>0</v>
      </c>
      <c r="D11" s="2"/>
      <c r="E11" s="2" t="s">
        <v>95</v>
      </c>
      <c r="F11" s="2"/>
      <c r="G11" s="2" t="s">
        <v>96</v>
      </c>
      <c r="H11" s="2"/>
      <c r="I11" s="2">
        <v>45</v>
      </c>
      <c r="J11" s="2"/>
      <c r="K11" s="2" t="s">
        <v>1144</v>
      </c>
      <c r="L11" s="2" t="s">
        <v>97</v>
      </c>
      <c r="M11" s="2" t="s">
        <v>98</v>
      </c>
      <c r="N11" s="2"/>
      <c r="O11" s="2">
        <v>86.27</v>
      </c>
      <c r="P11" s="2">
        <v>54</v>
      </c>
      <c r="Q11" s="2"/>
      <c r="R11" s="2"/>
      <c r="S11" s="2"/>
      <c r="T11" s="2"/>
      <c r="U11" s="2"/>
      <c r="V11" s="2">
        <v>0</v>
      </c>
      <c r="W11" s="2" t="b">
        <v>0</v>
      </c>
      <c r="X11" s="4" t="s">
        <v>99</v>
      </c>
      <c r="Y11" s="2"/>
      <c r="Z11" s="2" t="s">
        <v>100</v>
      </c>
      <c r="AA11" s="2" t="s">
        <v>101</v>
      </c>
      <c r="AC11" s="5" t="str">
        <f t="shared" si="0"/>
        <v/>
      </c>
      <c r="AD11" s="10"/>
    </row>
    <row r="12" spans="1:32" x14ac:dyDescent="0.3">
      <c r="A12" s="7" t="s">
        <v>102</v>
      </c>
      <c r="B12" s="7" t="s">
        <v>1145</v>
      </c>
      <c r="C12" s="7">
        <v>1</v>
      </c>
      <c r="D12" s="7" t="s">
        <v>1146</v>
      </c>
      <c r="E12" s="7" t="s">
        <v>103</v>
      </c>
      <c r="F12" s="7" t="s">
        <v>103</v>
      </c>
      <c r="G12" s="7" t="s">
        <v>104</v>
      </c>
      <c r="H12" s="7" t="s">
        <v>105</v>
      </c>
      <c r="I12" s="7">
        <v>72000000</v>
      </c>
      <c r="J12" s="7">
        <v>72413000</v>
      </c>
      <c r="K12" s="7" t="s">
        <v>1126</v>
      </c>
      <c r="L12" s="7" t="s">
        <v>106</v>
      </c>
      <c r="M12" s="7" t="s">
        <v>107</v>
      </c>
      <c r="N12" s="7" t="s">
        <v>108</v>
      </c>
      <c r="O12" s="7">
        <v>44.71</v>
      </c>
      <c r="P12" s="7">
        <v>48</v>
      </c>
      <c r="Q12" s="7">
        <v>0.58130000000000004</v>
      </c>
      <c r="R12" s="7">
        <v>0.59030000000000005</v>
      </c>
      <c r="S12" s="7">
        <v>0.2</v>
      </c>
      <c r="T12" s="7">
        <v>0.72589999999999999</v>
      </c>
      <c r="U12" s="7">
        <v>5.5100000000000003E-2</v>
      </c>
      <c r="V12" s="7">
        <v>5</v>
      </c>
      <c r="W12" s="7" t="b">
        <v>0</v>
      </c>
      <c r="X12" s="9" t="s">
        <v>109</v>
      </c>
      <c r="Y12" s="9" t="s">
        <v>110</v>
      </c>
      <c r="Z12" s="7"/>
      <c r="AA12" s="7"/>
      <c r="AC12" s="5" t="str">
        <f t="shared" si="0"/>
        <v/>
      </c>
      <c r="AD12" s="10"/>
    </row>
    <row r="13" spans="1:32" x14ac:dyDescent="0.3">
      <c r="A13" s="7" t="s">
        <v>111</v>
      </c>
      <c r="B13" s="7" t="s">
        <v>1147</v>
      </c>
      <c r="C13" s="7">
        <v>1</v>
      </c>
      <c r="D13" s="7" t="s">
        <v>1148</v>
      </c>
      <c r="E13" s="7" t="s">
        <v>112</v>
      </c>
      <c r="F13" s="7" t="s">
        <v>112</v>
      </c>
      <c r="G13" s="7" t="s">
        <v>113</v>
      </c>
      <c r="H13" s="7" t="s">
        <v>113</v>
      </c>
      <c r="I13" s="7">
        <v>72267000</v>
      </c>
      <c r="J13" s="7">
        <v>72267000</v>
      </c>
      <c r="K13" s="7" t="s">
        <v>1126</v>
      </c>
      <c r="L13" s="7" t="s">
        <v>114</v>
      </c>
      <c r="M13" s="7" t="s">
        <v>115</v>
      </c>
      <c r="N13" s="7" t="s">
        <v>116</v>
      </c>
      <c r="O13" s="7">
        <v>33.15</v>
      </c>
      <c r="P13" s="7">
        <v>36</v>
      </c>
      <c r="Q13" s="7">
        <v>0.95250000000000001</v>
      </c>
      <c r="R13" s="7">
        <v>1</v>
      </c>
      <c r="S13" s="7">
        <v>1</v>
      </c>
      <c r="T13" s="7">
        <v>0.76229999999999998</v>
      </c>
      <c r="U13" s="7">
        <v>0.51180000000000003</v>
      </c>
      <c r="V13" s="7">
        <v>6</v>
      </c>
      <c r="W13" s="7" t="b">
        <v>1</v>
      </c>
      <c r="X13" s="9" t="s">
        <v>117</v>
      </c>
      <c r="Y13" s="9" t="s">
        <v>118</v>
      </c>
      <c r="Z13" s="7"/>
      <c r="AA13" s="7"/>
      <c r="AC13" s="5" t="str">
        <f t="shared" si="0"/>
        <v/>
      </c>
      <c r="AD13" s="10"/>
    </row>
    <row r="14" spans="1:32" x14ac:dyDescent="0.3">
      <c r="A14" s="7" t="s">
        <v>119</v>
      </c>
      <c r="B14" s="7" t="s">
        <v>1149</v>
      </c>
      <c r="C14" s="7">
        <v>1</v>
      </c>
      <c r="D14" s="7" t="s">
        <v>1150</v>
      </c>
      <c r="E14" s="7" t="s">
        <v>32</v>
      </c>
      <c r="F14" s="7" t="s">
        <v>32</v>
      </c>
      <c r="G14" s="7" t="s">
        <v>120</v>
      </c>
      <c r="H14" s="7" t="s">
        <v>121</v>
      </c>
      <c r="I14" s="7">
        <v>79800000</v>
      </c>
      <c r="J14" s="7">
        <v>72260000</v>
      </c>
      <c r="K14" s="7" t="s">
        <v>1134</v>
      </c>
      <c r="L14" s="7" t="s">
        <v>122</v>
      </c>
      <c r="M14" s="7" t="s">
        <v>123</v>
      </c>
      <c r="N14" s="7" t="s">
        <v>124</v>
      </c>
      <c r="O14" s="7">
        <v>23.78</v>
      </c>
      <c r="P14" s="7">
        <v>24</v>
      </c>
      <c r="Q14" s="7">
        <v>0.50649999999999995</v>
      </c>
      <c r="R14" s="7">
        <v>0.40029999999999999</v>
      </c>
      <c r="S14" s="7">
        <v>0</v>
      </c>
      <c r="T14" s="7">
        <v>0.98199999999999998</v>
      </c>
      <c r="U14" s="7">
        <v>1.23E-2</v>
      </c>
      <c r="V14" s="7">
        <v>13</v>
      </c>
      <c r="W14" s="7" t="b">
        <v>0</v>
      </c>
      <c r="X14" s="9" t="s">
        <v>125</v>
      </c>
      <c r="Y14" s="9" t="s">
        <v>126</v>
      </c>
      <c r="Z14" s="7"/>
      <c r="AA14" s="7"/>
      <c r="AC14" s="5" t="str">
        <f t="shared" si="0"/>
        <v/>
      </c>
      <c r="AD14" s="10"/>
    </row>
    <row r="15" spans="1:32" x14ac:dyDescent="0.3">
      <c r="A15" s="7" t="s">
        <v>127</v>
      </c>
      <c r="B15" s="7" t="s">
        <v>1151</v>
      </c>
      <c r="C15" s="7">
        <v>1</v>
      </c>
      <c r="D15" s="7" t="s">
        <v>1152</v>
      </c>
      <c r="E15" s="7" t="s">
        <v>128</v>
      </c>
      <c r="F15" s="7" t="s">
        <v>128</v>
      </c>
      <c r="G15" s="7" t="s">
        <v>129</v>
      </c>
      <c r="H15" s="7" t="s">
        <v>130</v>
      </c>
      <c r="I15" s="7">
        <v>72320000</v>
      </c>
      <c r="J15" s="7">
        <v>72320000</v>
      </c>
      <c r="K15" s="7" t="s">
        <v>1153</v>
      </c>
      <c r="L15" s="7" t="s">
        <v>131</v>
      </c>
      <c r="M15" s="7" t="s">
        <v>132</v>
      </c>
      <c r="N15" s="7" t="s">
        <v>133</v>
      </c>
      <c r="O15" s="7">
        <v>50.39</v>
      </c>
      <c r="P15" s="7">
        <v>48</v>
      </c>
      <c r="Q15" s="7">
        <v>0.87460000000000004</v>
      </c>
      <c r="R15" s="7">
        <v>0.78620000000000001</v>
      </c>
      <c r="S15" s="7">
        <v>1</v>
      </c>
      <c r="T15" s="7">
        <v>0.80049999999999999</v>
      </c>
      <c r="U15" s="7">
        <v>0.29239999999999999</v>
      </c>
      <c r="V15" s="7">
        <v>23</v>
      </c>
      <c r="W15" s="7" t="b">
        <v>1</v>
      </c>
      <c r="X15" s="9" t="s">
        <v>134</v>
      </c>
      <c r="Y15" s="9" t="s">
        <v>135</v>
      </c>
      <c r="Z15" s="7"/>
      <c r="AA15" s="7"/>
      <c r="AC15" s="5" t="str">
        <f t="shared" si="0"/>
        <v/>
      </c>
      <c r="AD15" s="10"/>
    </row>
    <row r="16" spans="1:32" x14ac:dyDescent="0.3">
      <c r="A16" s="7" t="s">
        <v>136</v>
      </c>
      <c r="B16" s="7" t="s">
        <v>1154</v>
      </c>
      <c r="C16" s="7">
        <v>1</v>
      </c>
      <c r="D16" s="7" t="s">
        <v>1155</v>
      </c>
      <c r="E16" s="7" t="s">
        <v>41</v>
      </c>
      <c r="F16" s="7" t="s">
        <v>41</v>
      </c>
      <c r="G16" s="7" t="s">
        <v>137</v>
      </c>
      <c r="H16" s="7" t="s">
        <v>138</v>
      </c>
      <c r="I16" s="7">
        <v>72267000</v>
      </c>
      <c r="J16" s="7">
        <v>72267000</v>
      </c>
      <c r="K16" s="7" t="s">
        <v>1126</v>
      </c>
      <c r="L16" s="7" t="s">
        <v>139</v>
      </c>
      <c r="M16" s="7" t="s">
        <v>140</v>
      </c>
      <c r="N16" s="7" t="s">
        <v>141</v>
      </c>
      <c r="O16" s="7">
        <v>50.66</v>
      </c>
      <c r="P16" s="7">
        <v>48</v>
      </c>
      <c r="Q16" s="7">
        <v>0.85060000000000002</v>
      </c>
      <c r="R16" s="7">
        <v>0.73719999999999997</v>
      </c>
      <c r="S16" s="7">
        <v>1</v>
      </c>
      <c r="T16" s="7">
        <v>0.77859999999999996</v>
      </c>
      <c r="U16" s="7">
        <v>0.12920000000000001</v>
      </c>
      <c r="V16" s="7">
        <v>12</v>
      </c>
      <c r="W16" s="7" t="b">
        <v>1</v>
      </c>
      <c r="X16" s="9" t="s">
        <v>142</v>
      </c>
      <c r="Y16" s="9" t="s">
        <v>143</v>
      </c>
      <c r="Z16" s="7"/>
      <c r="AA16" s="7"/>
      <c r="AC16" s="5" t="str">
        <f t="shared" si="0"/>
        <v/>
      </c>
      <c r="AD16" s="10"/>
    </row>
    <row r="17" spans="1:30" x14ac:dyDescent="0.3">
      <c r="A17" s="2" t="s">
        <v>144</v>
      </c>
      <c r="B17" s="2" t="s">
        <v>1156</v>
      </c>
      <c r="C17" s="2">
        <v>0</v>
      </c>
      <c r="D17" s="2"/>
      <c r="E17" s="2" t="s">
        <v>145</v>
      </c>
      <c r="F17" s="2"/>
      <c r="G17" s="2" t="s">
        <v>146</v>
      </c>
      <c r="H17" s="2"/>
      <c r="I17" s="2">
        <v>72</v>
      </c>
      <c r="J17" s="2"/>
      <c r="K17" s="2" t="s">
        <v>1126</v>
      </c>
      <c r="L17" s="2" t="s">
        <v>147</v>
      </c>
      <c r="M17" s="2" t="s">
        <v>148</v>
      </c>
      <c r="N17" s="2"/>
      <c r="O17" s="2">
        <v>105.98</v>
      </c>
      <c r="P17" s="2">
        <v>48</v>
      </c>
      <c r="Q17" s="2"/>
      <c r="R17" s="2"/>
      <c r="S17" s="2"/>
      <c r="T17" s="2"/>
      <c r="U17" s="2"/>
      <c r="V17" s="2">
        <v>0</v>
      </c>
      <c r="W17" s="2" t="b">
        <v>0</v>
      </c>
      <c r="X17" s="4" t="s">
        <v>149</v>
      </c>
      <c r="Y17" s="2"/>
      <c r="Z17" s="2"/>
      <c r="AA17" s="2"/>
      <c r="AC17" s="5" t="str">
        <f t="shared" si="0"/>
        <v/>
      </c>
      <c r="AD17" s="10"/>
    </row>
    <row r="18" spans="1:30" x14ac:dyDescent="0.3">
      <c r="A18" s="2" t="s">
        <v>150</v>
      </c>
      <c r="B18" s="2" t="s">
        <v>1157</v>
      </c>
      <c r="C18" s="2">
        <v>0</v>
      </c>
      <c r="D18" s="2"/>
      <c r="E18" s="2" t="s">
        <v>151</v>
      </c>
      <c r="F18" s="2"/>
      <c r="G18" s="2" t="s">
        <v>152</v>
      </c>
      <c r="H18" s="2"/>
      <c r="I18" s="2">
        <v>32</v>
      </c>
      <c r="J18" s="2"/>
      <c r="K18" s="2" t="s">
        <v>1138</v>
      </c>
      <c r="L18" s="2" t="s">
        <v>153</v>
      </c>
      <c r="M18" s="2" t="s">
        <v>154</v>
      </c>
      <c r="N18" s="2"/>
      <c r="O18" s="2">
        <v>21.71</v>
      </c>
      <c r="P18" s="2">
        <v>4</v>
      </c>
      <c r="Q18" s="2"/>
      <c r="R18" s="2"/>
      <c r="S18" s="2"/>
      <c r="T18" s="2"/>
      <c r="U18" s="2"/>
      <c r="V18" s="2">
        <v>0</v>
      </c>
      <c r="W18" s="2" t="b">
        <v>0</v>
      </c>
      <c r="X18" s="4" t="s">
        <v>155</v>
      </c>
      <c r="Y18" s="2"/>
      <c r="Z18" s="2"/>
      <c r="AA18" s="2"/>
      <c r="AC18" s="5" t="str">
        <f t="shared" si="0"/>
        <v/>
      </c>
      <c r="AD18" s="10"/>
    </row>
    <row r="19" spans="1:30" x14ac:dyDescent="0.3">
      <c r="A19" s="2" t="s">
        <v>156</v>
      </c>
      <c r="B19" s="2" t="s">
        <v>1158</v>
      </c>
      <c r="C19" s="2">
        <v>0</v>
      </c>
      <c r="D19" s="2"/>
      <c r="E19" s="2" t="s">
        <v>157</v>
      </c>
      <c r="F19" s="2"/>
      <c r="G19" s="2" t="s">
        <v>158</v>
      </c>
      <c r="H19" s="2"/>
      <c r="I19" s="2">
        <v>72</v>
      </c>
      <c r="J19" s="2"/>
      <c r="K19" s="2" t="s">
        <v>1126</v>
      </c>
      <c r="L19" s="2" t="s">
        <v>159</v>
      </c>
      <c r="M19" s="2" t="s">
        <v>160</v>
      </c>
      <c r="N19" s="2"/>
      <c r="O19" s="2">
        <v>88.27</v>
      </c>
      <c r="P19" s="2">
        <v>48</v>
      </c>
      <c r="Q19" s="2"/>
      <c r="R19" s="2"/>
      <c r="S19" s="2"/>
      <c r="T19" s="2"/>
      <c r="U19" s="2"/>
      <c r="V19" s="2">
        <v>0</v>
      </c>
      <c r="W19" s="2" t="b">
        <v>0</v>
      </c>
      <c r="X19" s="4" t="s">
        <v>161</v>
      </c>
      <c r="Y19" s="2"/>
      <c r="Z19" s="2"/>
      <c r="AA19" s="2"/>
      <c r="AC19" s="5" t="str">
        <f t="shared" si="0"/>
        <v/>
      </c>
      <c r="AD19" s="10"/>
    </row>
    <row r="20" spans="1:30" x14ac:dyDescent="0.3">
      <c r="A20" s="2" t="s">
        <v>162</v>
      </c>
      <c r="B20" s="2" t="s">
        <v>1159</v>
      </c>
      <c r="C20" s="2">
        <v>0</v>
      </c>
      <c r="D20" s="2"/>
      <c r="E20" s="2" t="s">
        <v>163</v>
      </c>
      <c r="F20" s="2"/>
      <c r="G20" s="2" t="s">
        <v>164</v>
      </c>
      <c r="H20" s="2"/>
      <c r="I20" s="2">
        <v>72</v>
      </c>
      <c r="J20" s="2"/>
      <c r="K20" s="2" t="s">
        <v>1126</v>
      </c>
      <c r="L20" s="2" t="s">
        <v>165</v>
      </c>
      <c r="M20" s="2" t="s">
        <v>166</v>
      </c>
      <c r="N20" s="2"/>
      <c r="O20" s="2">
        <v>101.74</v>
      </c>
      <c r="P20" s="2">
        <v>60</v>
      </c>
      <c r="Q20" s="2"/>
      <c r="R20" s="2"/>
      <c r="S20" s="2"/>
      <c r="T20" s="2"/>
      <c r="U20" s="2"/>
      <c r="V20" s="2">
        <v>0</v>
      </c>
      <c r="W20" s="2" t="b">
        <v>0</v>
      </c>
      <c r="X20" s="4" t="s">
        <v>167</v>
      </c>
      <c r="Y20" s="2"/>
      <c r="Z20" s="2"/>
      <c r="AA20" s="2"/>
      <c r="AC20" s="5" t="str">
        <f t="shared" si="0"/>
        <v/>
      </c>
      <c r="AD20" s="10"/>
    </row>
    <row r="21" spans="1:30" x14ac:dyDescent="0.3">
      <c r="A21" s="7" t="s">
        <v>168</v>
      </c>
      <c r="B21" s="7" t="s">
        <v>1160</v>
      </c>
      <c r="C21" s="7">
        <v>1</v>
      </c>
      <c r="D21" s="7" t="s">
        <v>1161</v>
      </c>
      <c r="E21" s="7" t="s">
        <v>169</v>
      </c>
      <c r="F21" s="7" t="s">
        <v>170</v>
      </c>
      <c r="G21" s="7" t="s">
        <v>171</v>
      </c>
      <c r="H21" s="7" t="s">
        <v>172</v>
      </c>
      <c r="I21" s="7">
        <v>39100000</v>
      </c>
      <c r="J21" s="7">
        <v>39150000</v>
      </c>
      <c r="K21" s="7" t="s">
        <v>1144</v>
      </c>
      <c r="L21" s="7" t="s">
        <v>173</v>
      </c>
      <c r="M21" s="7" t="s">
        <v>174</v>
      </c>
      <c r="N21" s="7" t="s">
        <v>175</v>
      </c>
      <c r="O21" s="7">
        <v>52.79</v>
      </c>
      <c r="P21" s="7">
        <v>48</v>
      </c>
      <c r="Q21" s="7">
        <v>0.6472</v>
      </c>
      <c r="R21" s="7">
        <v>0.69269999999999998</v>
      </c>
      <c r="S21" s="7">
        <v>0.4</v>
      </c>
      <c r="T21" s="7">
        <v>0.60060000000000002</v>
      </c>
      <c r="U21" s="7">
        <v>0.30130000000000001</v>
      </c>
      <c r="V21" s="7">
        <v>3</v>
      </c>
      <c r="W21" s="7" t="b">
        <v>0</v>
      </c>
      <c r="X21" s="9" t="s">
        <v>176</v>
      </c>
      <c r="Y21" s="9" t="s">
        <v>177</v>
      </c>
      <c r="Z21" s="7"/>
      <c r="AA21" s="7"/>
      <c r="AC21" s="5" t="str">
        <f t="shared" si="0"/>
        <v/>
      </c>
      <c r="AD21" s="10"/>
    </row>
    <row r="22" spans="1:30" x14ac:dyDescent="0.3">
      <c r="A22" s="7" t="s">
        <v>178</v>
      </c>
      <c r="B22" s="7" t="s">
        <v>1162</v>
      </c>
      <c r="C22" s="7">
        <v>1</v>
      </c>
      <c r="D22" s="7" t="s">
        <v>1163</v>
      </c>
      <c r="E22" s="7" t="s">
        <v>32</v>
      </c>
      <c r="F22" s="7" t="s">
        <v>32</v>
      </c>
      <c r="G22" s="7" t="s">
        <v>179</v>
      </c>
      <c r="H22" s="7" t="s">
        <v>180</v>
      </c>
      <c r="I22" s="7">
        <v>72320000</v>
      </c>
      <c r="J22" s="7">
        <v>72000000</v>
      </c>
      <c r="K22" s="7" t="s">
        <v>1153</v>
      </c>
      <c r="L22" s="7" t="s">
        <v>181</v>
      </c>
      <c r="M22" s="7" t="s">
        <v>182</v>
      </c>
      <c r="N22" s="7" t="s">
        <v>183</v>
      </c>
      <c r="O22" s="7">
        <v>9.82</v>
      </c>
      <c r="P22" s="7">
        <v>6</v>
      </c>
      <c r="Q22" s="7">
        <v>0.57440000000000002</v>
      </c>
      <c r="R22" s="7">
        <v>0.59519999999999995</v>
      </c>
      <c r="S22" s="7">
        <v>0.2</v>
      </c>
      <c r="T22" s="7">
        <v>0.68140000000000001</v>
      </c>
      <c r="U22" s="7">
        <v>5.8999999999999999E-3</v>
      </c>
      <c r="V22" s="7">
        <v>14</v>
      </c>
      <c r="W22" s="7" t="b">
        <v>0</v>
      </c>
      <c r="X22" s="9" t="s">
        <v>184</v>
      </c>
      <c r="Y22" s="9" t="s">
        <v>185</v>
      </c>
      <c r="Z22" s="7"/>
      <c r="AA22" s="7"/>
      <c r="AC22" s="5" t="str">
        <f t="shared" si="0"/>
        <v/>
      </c>
      <c r="AD22" s="10"/>
    </row>
    <row r="23" spans="1:30" x14ac:dyDescent="0.3">
      <c r="A23" s="7" t="s">
        <v>186</v>
      </c>
      <c r="B23" s="7" t="s">
        <v>1128</v>
      </c>
      <c r="C23" s="7">
        <v>1</v>
      </c>
      <c r="D23" s="7" t="s">
        <v>1164</v>
      </c>
      <c r="E23" s="7" t="s">
        <v>32</v>
      </c>
      <c r="F23" s="7" t="s">
        <v>32</v>
      </c>
      <c r="G23" s="7" t="s">
        <v>34</v>
      </c>
      <c r="H23" s="7" t="s">
        <v>187</v>
      </c>
      <c r="I23" s="7">
        <v>35113430</v>
      </c>
      <c r="J23" s="7">
        <v>72000000</v>
      </c>
      <c r="K23" s="7" t="s">
        <v>1129</v>
      </c>
      <c r="L23" s="7" t="s">
        <v>37</v>
      </c>
      <c r="M23" s="7" t="s">
        <v>188</v>
      </c>
      <c r="N23" s="7" t="s">
        <v>189</v>
      </c>
      <c r="O23" s="7">
        <v>11.5</v>
      </c>
      <c r="P23" s="7">
        <v>12</v>
      </c>
      <c r="Q23" s="7">
        <v>0.49640000000000001</v>
      </c>
      <c r="R23" s="7">
        <v>0.38679999999999998</v>
      </c>
      <c r="S23" s="7">
        <v>0</v>
      </c>
      <c r="T23" s="7">
        <v>0.95820000000000005</v>
      </c>
      <c r="U23" s="7">
        <v>7.9000000000000008E-3</v>
      </c>
      <c r="V23" s="7">
        <v>13</v>
      </c>
      <c r="W23" s="7" t="b">
        <v>0</v>
      </c>
      <c r="X23" s="9" t="s">
        <v>39</v>
      </c>
      <c r="Y23" s="9" t="s">
        <v>190</v>
      </c>
      <c r="Z23" s="7"/>
      <c r="AA23" s="7"/>
      <c r="AC23" s="5" t="str">
        <f t="shared" si="0"/>
        <v/>
      </c>
      <c r="AD23" s="10"/>
    </row>
    <row r="24" spans="1:30" x14ac:dyDescent="0.3">
      <c r="A24" s="7" t="s">
        <v>191</v>
      </c>
      <c r="B24" s="7" t="s">
        <v>1165</v>
      </c>
      <c r="C24" s="7">
        <v>1</v>
      </c>
      <c r="D24" s="7" t="s">
        <v>1166</v>
      </c>
      <c r="E24" s="7" t="s">
        <v>192</v>
      </c>
      <c r="F24" s="7" t="s">
        <v>192</v>
      </c>
      <c r="G24" s="7" t="s">
        <v>193</v>
      </c>
      <c r="H24" s="7" t="s">
        <v>194</v>
      </c>
      <c r="I24" s="7">
        <v>48900000</v>
      </c>
      <c r="J24" s="7">
        <v>72212224</v>
      </c>
      <c r="K24" s="7" t="s">
        <v>1134</v>
      </c>
      <c r="L24" s="7" t="s">
        <v>195</v>
      </c>
      <c r="M24" s="7" t="s">
        <v>196</v>
      </c>
      <c r="N24" s="7" t="s">
        <v>197</v>
      </c>
      <c r="O24" s="7">
        <v>11.63</v>
      </c>
      <c r="P24" s="7">
        <v>12</v>
      </c>
      <c r="Q24" s="7">
        <v>0.4592</v>
      </c>
      <c r="R24" s="7">
        <v>0.28839999999999999</v>
      </c>
      <c r="S24" s="7">
        <v>0</v>
      </c>
      <c r="T24" s="7">
        <v>0.96909999999999996</v>
      </c>
      <c r="U24" s="7">
        <v>6.4000000000000003E-3</v>
      </c>
      <c r="V24" s="7">
        <v>4</v>
      </c>
      <c r="W24" s="7" t="b">
        <v>0</v>
      </c>
      <c r="X24" s="9" t="s">
        <v>198</v>
      </c>
      <c r="Y24" s="9" t="s">
        <v>199</v>
      </c>
      <c r="Z24" s="7"/>
      <c r="AA24" s="7"/>
      <c r="AC24" s="5" t="str">
        <f t="shared" si="0"/>
        <v/>
      </c>
      <c r="AD24" s="10"/>
    </row>
    <row r="25" spans="1:30" x14ac:dyDescent="0.3">
      <c r="A25" s="7" t="s">
        <v>200</v>
      </c>
      <c r="B25" s="7" t="s">
        <v>1167</v>
      </c>
      <c r="C25" s="7">
        <v>1</v>
      </c>
      <c r="D25" s="7" t="s">
        <v>1168</v>
      </c>
      <c r="E25" s="7" t="s">
        <v>201</v>
      </c>
      <c r="F25" s="7" t="s">
        <v>201</v>
      </c>
      <c r="G25" s="7" t="s">
        <v>202</v>
      </c>
      <c r="H25" s="7" t="s">
        <v>203</v>
      </c>
      <c r="I25" s="7">
        <v>32412100</v>
      </c>
      <c r="J25" s="7">
        <v>50700000</v>
      </c>
      <c r="K25" s="7" t="s">
        <v>1138</v>
      </c>
      <c r="L25" s="7" t="s">
        <v>204</v>
      </c>
      <c r="M25" s="7" t="s">
        <v>205</v>
      </c>
      <c r="N25" s="7" t="s">
        <v>206</v>
      </c>
      <c r="O25" s="7">
        <v>24.84</v>
      </c>
      <c r="P25" s="7">
        <v>36</v>
      </c>
      <c r="Q25" s="7">
        <v>0.3211</v>
      </c>
      <c r="R25" s="7">
        <v>0.39290000000000003</v>
      </c>
      <c r="S25" s="7">
        <v>0</v>
      </c>
      <c r="T25" s="7">
        <v>6.9599999999999995E-2</v>
      </c>
      <c r="U25" s="7">
        <v>1.12E-2</v>
      </c>
      <c r="V25" s="7">
        <v>2</v>
      </c>
      <c r="W25" s="7" t="b">
        <v>0</v>
      </c>
      <c r="X25" s="9" t="s">
        <v>207</v>
      </c>
      <c r="Y25" s="9" t="s">
        <v>208</v>
      </c>
      <c r="Z25" s="7"/>
      <c r="AA25" s="7"/>
      <c r="AC25" s="5" t="str">
        <f t="shared" si="0"/>
        <v/>
      </c>
      <c r="AD25" s="10"/>
    </row>
    <row r="26" spans="1:30" x14ac:dyDescent="0.3">
      <c r="A26" s="7" t="s">
        <v>209</v>
      </c>
      <c r="B26" s="7" t="s">
        <v>1169</v>
      </c>
      <c r="C26" s="7">
        <v>1</v>
      </c>
      <c r="D26" s="7" t="s">
        <v>1170</v>
      </c>
      <c r="E26" s="7" t="s">
        <v>210</v>
      </c>
      <c r="F26" s="7" t="s">
        <v>210</v>
      </c>
      <c r="G26" s="7" t="s">
        <v>211</v>
      </c>
      <c r="H26" s="7" t="s">
        <v>212</v>
      </c>
      <c r="I26" s="7">
        <v>48000000</v>
      </c>
      <c r="J26" s="7">
        <v>48730000</v>
      </c>
      <c r="K26" s="7" t="s">
        <v>1134</v>
      </c>
      <c r="L26" s="7" t="s">
        <v>213</v>
      </c>
      <c r="M26" s="7" t="s">
        <v>214</v>
      </c>
      <c r="N26" s="7" t="s">
        <v>215</v>
      </c>
      <c r="O26" s="7">
        <v>27.43</v>
      </c>
      <c r="P26" s="7">
        <v>24</v>
      </c>
      <c r="Q26" s="7">
        <v>0.498</v>
      </c>
      <c r="R26" s="7">
        <v>0.38790000000000002</v>
      </c>
      <c r="S26" s="7">
        <v>0.2</v>
      </c>
      <c r="T26" s="7">
        <v>0.71409999999999996</v>
      </c>
      <c r="U26" s="7"/>
      <c r="V26" s="7">
        <v>1</v>
      </c>
      <c r="W26" s="7" t="b">
        <v>0</v>
      </c>
      <c r="X26" s="9" t="s">
        <v>216</v>
      </c>
      <c r="Y26" s="9" t="s">
        <v>217</v>
      </c>
      <c r="Z26" s="7"/>
      <c r="AA26" s="7"/>
      <c r="AC26" s="5" t="str">
        <f t="shared" si="0"/>
        <v/>
      </c>
      <c r="AD26" s="10"/>
    </row>
    <row r="27" spans="1:30" x14ac:dyDescent="0.3">
      <c r="A27" s="7" t="s">
        <v>218</v>
      </c>
      <c r="B27" s="7" t="s">
        <v>1171</v>
      </c>
      <c r="C27" s="7">
        <v>1</v>
      </c>
      <c r="D27" s="7" t="s">
        <v>1172</v>
      </c>
      <c r="E27" s="7" t="s">
        <v>32</v>
      </c>
      <c r="F27" s="7" t="s">
        <v>32</v>
      </c>
      <c r="G27" s="7" t="s">
        <v>219</v>
      </c>
      <c r="H27" s="7" t="s">
        <v>220</v>
      </c>
      <c r="I27" s="7">
        <v>72212900</v>
      </c>
      <c r="J27" s="7">
        <v>72212900</v>
      </c>
      <c r="K27" s="7" t="s">
        <v>1141</v>
      </c>
      <c r="L27" s="7" t="s">
        <v>183</v>
      </c>
      <c r="M27" s="7" t="s">
        <v>221</v>
      </c>
      <c r="N27" s="7" t="s">
        <v>222</v>
      </c>
      <c r="O27" s="7">
        <v>11.07</v>
      </c>
      <c r="P27" s="7">
        <v>12</v>
      </c>
      <c r="Q27" s="7">
        <v>0.71040000000000003</v>
      </c>
      <c r="R27" s="7">
        <v>0.31480000000000002</v>
      </c>
      <c r="S27" s="7">
        <v>1</v>
      </c>
      <c r="T27" s="7">
        <v>0.92259999999999998</v>
      </c>
      <c r="U27" s="7">
        <v>3.2599999999999997E-2</v>
      </c>
      <c r="V27" s="7">
        <v>14</v>
      </c>
      <c r="W27" s="7" t="b">
        <v>0</v>
      </c>
      <c r="X27" s="9" t="s">
        <v>223</v>
      </c>
      <c r="Y27" s="9" t="s">
        <v>224</v>
      </c>
      <c r="Z27" s="7"/>
      <c r="AA27" s="7"/>
      <c r="AC27" s="5" t="str">
        <f t="shared" si="0"/>
        <v/>
      </c>
      <c r="AD27" s="10"/>
    </row>
    <row r="28" spans="1:30" x14ac:dyDescent="0.3">
      <c r="A28" s="7" t="s">
        <v>225</v>
      </c>
      <c r="B28" s="7" t="s">
        <v>1173</v>
      </c>
      <c r="C28" s="7">
        <v>1</v>
      </c>
      <c r="D28" s="7" t="s">
        <v>1174</v>
      </c>
      <c r="E28" s="7" t="s">
        <v>128</v>
      </c>
      <c r="F28" s="7" t="s">
        <v>128</v>
      </c>
      <c r="G28" s="7" t="s">
        <v>226</v>
      </c>
      <c r="H28" s="7" t="s">
        <v>227</v>
      </c>
      <c r="I28" s="7">
        <v>72810000</v>
      </c>
      <c r="J28" s="7">
        <v>72150000</v>
      </c>
      <c r="K28" s="7" t="s">
        <v>1126</v>
      </c>
      <c r="L28" s="7" t="s">
        <v>228</v>
      </c>
      <c r="M28" s="7" t="s">
        <v>229</v>
      </c>
      <c r="N28" s="7" t="s">
        <v>230</v>
      </c>
      <c r="O28" s="7">
        <v>50.85</v>
      </c>
      <c r="P28" s="7">
        <v>48</v>
      </c>
      <c r="Q28" s="7">
        <v>0.68899999999999995</v>
      </c>
      <c r="R28" s="7">
        <v>0.84150000000000003</v>
      </c>
      <c r="S28" s="7">
        <v>0.2</v>
      </c>
      <c r="T28" s="7">
        <v>0.76219999999999999</v>
      </c>
      <c r="U28" s="7">
        <v>0.10780000000000001</v>
      </c>
      <c r="V28" s="7">
        <v>34</v>
      </c>
      <c r="W28" s="7" t="b">
        <v>0</v>
      </c>
      <c r="X28" s="9" t="s">
        <v>231</v>
      </c>
      <c r="Y28" s="9" t="s">
        <v>232</v>
      </c>
      <c r="Z28" s="7"/>
      <c r="AA28" s="7"/>
      <c r="AC28" s="5" t="str">
        <f t="shared" si="0"/>
        <v/>
      </c>
      <c r="AD28" s="10"/>
    </row>
    <row r="29" spans="1:30" x14ac:dyDescent="0.3">
      <c r="A29" s="7" t="s">
        <v>233</v>
      </c>
      <c r="B29" s="7" t="s">
        <v>1175</v>
      </c>
      <c r="C29" s="7">
        <v>1</v>
      </c>
      <c r="D29" s="7" t="s">
        <v>1176</v>
      </c>
      <c r="E29" s="7" t="s">
        <v>234</v>
      </c>
      <c r="F29" s="7" t="s">
        <v>235</v>
      </c>
      <c r="G29" s="7" t="s">
        <v>236</v>
      </c>
      <c r="H29" s="7" t="s">
        <v>237</v>
      </c>
      <c r="I29" s="7">
        <v>45421000</v>
      </c>
      <c r="J29" s="7">
        <v>72315000</v>
      </c>
      <c r="K29" s="7" t="s">
        <v>1144</v>
      </c>
      <c r="L29" s="7" t="s">
        <v>238</v>
      </c>
      <c r="M29" s="7" t="s">
        <v>239</v>
      </c>
      <c r="N29" s="7" t="s">
        <v>240</v>
      </c>
      <c r="O29" s="7">
        <v>48.59</v>
      </c>
      <c r="P29" s="7">
        <v>48</v>
      </c>
      <c r="Q29" s="7">
        <v>0.52559999999999996</v>
      </c>
      <c r="R29" s="7">
        <v>0.46329999999999999</v>
      </c>
      <c r="S29" s="7">
        <v>0</v>
      </c>
      <c r="T29" s="7">
        <v>0.95109999999999995</v>
      </c>
      <c r="U29" s="7"/>
      <c r="V29" s="7">
        <v>1</v>
      </c>
      <c r="W29" s="7" t="b">
        <v>0</v>
      </c>
      <c r="X29" s="9" t="s">
        <v>241</v>
      </c>
      <c r="Y29" s="9" t="s">
        <v>242</v>
      </c>
      <c r="Z29" s="7"/>
      <c r="AA29" s="7"/>
      <c r="AC29" s="5" t="str">
        <f t="shared" si="0"/>
        <v/>
      </c>
      <c r="AD29" s="10"/>
    </row>
    <row r="30" spans="1:30" x14ac:dyDescent="0.3">
      <c r="A30" s="7" t="s">
        <v>243</v>
      </c>
      <c r="B30" s="7" t="s">
        <v>1177</v>
      </c>
      <c r="C30" s="7">
        <v>1</v>
      </c>
      <c r="D30" s="7" t="s">
        <v>1178</v>
      </c>
      <c r="E30" s="7" t="s">
        <v>244</v>
      </c>
      <c r="F30" s="7" t="s">
        <v>244</v>
      </c>
      <c r="G30" s="7" t="s">
        <v>245</v>
      </c>
      <c r="H30" s="7" t="s">
        <v>246</v>
      </c>
      <c r="I30" s="7">
        <v>48443000</v>
      </c>
      <c r="J30" s="7">
        <v>32352200</v>
      </c>
      <c r="K30" s="7" t="s">
        <v>1134</v>
      </c>
      <c r="L30" s="7" t="s">
        <v>247</v>
      </c>
      <c r="M30" s="7" t="s">
        <v>248</v>
      </c>
      <c r="N30" s="7" t="s">
        <v>249</v>
      </c>
      <c r="O30" s="7">
        <v>39.22</v>
      </c>
      <c r="P30" s="7">
        <v>48</v>
      </c>
      <c r="Q30" s="7">
        <v>0.31290000000000001</v>
      </c>
      <c r="R30" s="7">
        <v>0.27289999999999998</v>
      </c>
      <c r="S30" s="7">
        <v>0</v>
      </c>
      <c r="T30" s="7">
        <v>0.26869999999999999</v>
      </c>
      <c r="U30" s="7"/>
      <c r="V30" s="7">
        <v>1</v>
      </c>
      <c r="W30" s="7" t="b">
        <v>0</v>
      </c>
      <c r="X30" s="9" t="s">
        <v>250</v>
      </c>
      <c r="Y30" s="9" t="s">
        <v>251</v>
      </c>
      <c r="Z30" s="7"/>
      <c r="AA30" s="7"/>
      <c r="AC30" s="5" t="str">
        <f t="shared" si="0"/>
        <v/>
      </c>
      <c r="AD30" s="10"/>
    </row>
    <row r="31" spans="1:30" x14ac:dyDescent="0.3">
      <c r="A31" s="7" t="s">
        <v>252</v>
      </c>
      <c r="B31" s="7" t="s">
        <v>1179</v>
      </c>
      <c r="C31" s="7">
        <v>1</v>
      </c>
      <c r="D31" s="7" t="s">
        <v>1180</v>
      </c>
      <c r="E31" s="7" t="s">
        <v>169</v>
      </c>
      <c r="F31" s="7" t="s">
        <v>170</v>
      </c>
      <c r="G31" s="7" t="s">
        <v>253</v>
      </c>
      <c r="H31" s="7" t="s">
        <v>254</v>
      </c>
      <c r="I31" s="7">
        <v>48900000</v>
      </c>
      <c r="J31" s="7">
        <v>30230000</v>
      </c>
      <c r="K31" s="7" t="s">
        <v>1134</v>
      </c>
      <c r="L31" s="7" t="s">
        <v>255</v>
      </c>
      <c r="M31" s="7" t="s">
        <v>256</v>
      </c>
      <c r="N31" s="7" t="s">
        <v>257</v>
      </c>
      <c r="O31" s="7">
        <v>24.93</v>
      </c>
      <c r="P31" s="7">
        <v>24</v>
      </c>
      <c r="Q31" s="7">
        <v>0.49690000000000001</v>
      </c>
      <c r="R31" s="7">
        <v>0.40610000000000002</v>
      </c>
      <c r="S31" s="7">
        <v>0</v>
      </c>
      <c r="T31" s="7">
        <v>0.92210000000000003</v>
      </c>
      <c r="U31" s="7">
        <v>4.1000000000000002E-2</v>
      </c>
      <c r="V31" s="7">
        <v>6</v>
      </c>
      <c r="W31" s="7" t="b">
        <v>0</v>
      </c>
      <c r="X31" s="9" t="s">
        <v>258</v>
      </c>
      <c r="Y31" s="9" t="s">
        <v>259</v>
      </c>
      <c r="Z31" s="7"/>
      <c r="AA31" s="7"/>
      <c r="AC31" s="5" t="str">
        <f t="shared" si="0"/>
        <v/>
      </c>
      <c r="AD31" s="10"/>
    </row>
    <row r="32" spans="1:30" x14ac:dyDescent="0.3">
      <c r="A32" s="7" t="s">
        <v>260</v>
      </c>
      <c r="B32" s="7" t="s">
        <v>1181</v>
      </c>
      <c r="C32" s="7">
        <v>1</v>
      </c>
      <c r="D32" s="7" t="s">
        <v>1182</v>
      </c>
      <c r="E32" s="7" t="s">
        <v>261</v>
      </c>
      <c r="F32" s="7" t="s">
        <v>261</v>
      </c>
      <c r="G32" s="7" t="s">
        <v>262</v>
      </c>
      <c r="H32" s="7" t="s">
        <v>263</v>
      </c>
      <c r="I32" s="7">
        <v>72224000</v>
      </c>
      <c r="J32" s="7">
        <v>72600000</v>
      </c>
      <c r="K32" s="7" t="s">
        <v>1126</v>
      </c>
      <c r="L32" s="7" t="s">
        <v>264</v>
      </c>
      <c r="M32" s="7" t="s">
        <v>265</v>
      </c>
      <c r="N32" s="7" t="s">
        <v>266</v>
      </c>
      <c r="O32" s="7">
        <v>48.32</v>
      </c>
      <c r="P32" s="7">
        <v>48</v>
      </c>
      <c r="Q32" s="7">
        <v>0.62339999999999995</v>
      </c>
      <c r="R32" s="7">
        <v>0.57199999999999995</v>
      </c>
      <c r="S32" s="7">
        <v>0.2</v>
      </c>
      <c r="T32" s="7">
        <v>0.97299999999999998</v>
      </c>
      <c r="U32" s="7">
        <v>4.2599999999999999E-2</v>
      </c>
      <c r="V32" s="7">
        <v>6</v>
      </c>
      <c r="W32" s="7" t="b">
        <v>0</v>
      </c>
      <c r="X32" s="9" t="s">
        <v>267</v>
      </c>
      <c r="Y32" s="9" t="s">
        <v>268</v>
      </c>
      <c r="Z32" s="7"/>
      <c r="AA32" s="7"/>
      <c r="AC32" s="5" t="str">
        <f t="shared" si="0"/>
        <v/>
      </c>
      <c r="AD32" s="10"/>
    </row>
    <row r="33" spans="1:30" x14ac:dyDescent="0.3">
      <c r="A33" s="7" t="s">
        <v>269</v>
      </c>
      <c r="B33" s="7" t="s">
        <v>1183</v>
      </c>
      <c r="C33" s="7">
        <v>1</v>
      </c>
      <c r="D33" s="7" t="s">
        <v>1184</v>
      </c>
      <c r="E33" s="7" t="s">
        <v>80</v>
      </c>
      <c r="F33" s="7" t="s">
        <v>80</v>
      </c>
      <c r="G33" s="7" t="s">
        <v>270</v>
      </c>
      <c r="H33" s="7" t="s">
        <v>271</v>
      </c>
      <c r="I33" s="7">
        <v>39300000</v>
      </c>
      <c r="J33" s="7">
        <v>39300000</v>
      </c>
      <c r="K33" s="7" t="s">
        <v>1144</v>
      </c>
      <c r="L33" s="7" t="s">
        <v>272</v>
      </c>
      <c r="M33" s="7" t="s">
        <v>273</v>
      </c>
      <c r="N33" s="7" t="s">
        <v>274</v>
      </c>
      <c r="O33" s="7">
        <v>8.94</v>
      </c>
      <c r="P33" s="7">
        <v>12</v>
      </c>
      <c r="Q33" s="7">
        <v>0.88749999999999996</v>
      </c>
      <c r="R33" s="7">
        <v>0.84650000000000003</v>
      </c>
      <c r="S33" s="7">
        <v>1</v>
      </c>
      <c r="T33" s="7">
        <v>0.74460000000000004</v>
      </c>
      <c r="U33" s="7">
        <v>0.44500000000000001</v>
      </c>
      <c r="V33" s="7">
        <v>4</v>
      </c>
      <c r="W33" s="7" t="b">
        <v>1</v>
      </c>
      <c r="X33" s="9" t="s">
        <v>275</v>
      </c>
      <c r="Y33" s="9" t="s">
        <v>276</v>
      </c>
      <c r="Z33" s="7"/>
      <c r="AA33" s="7"/>
      <c r="AC33" s="5" t="str">
        <f t="shared" si="0"/>
        <v/>
      </c>
      <c r="AD33" s="10"/>
    </row>
    <row r="34" spans="1:30" x14ac:dyDescent="0.3">
      <c r="A34" s="2" t="s">
        <v>277</v>
      </c>
      <c r="B34" s="2" t="s">
        <v>1185</v>
      </c>
      <c r="C34" s="2">
        <v>0</v>
      </c>
      <c r="D34" s="2"/>
      <c r="E34" s="2" t="s">
        <v>278</v>
      </c>
      <c r="F34" s="2"/>
      <c r="G34" s="2" t="s">
        <v>279</v>
      </c>
      <c r="H34" s="2"/>
      <c r="I34" s="2">
        <v>32</v>
      </c>
      <c r="J34" s="2"/>
      <c r="K34" s="2" t="s">
        <v>1138</v>
      </c>
      <c r="L34" s="2" t="s">
        <v>280</v>
      </c>
      <c r="M34" s="2" t="s">
        <v>281</v>
      </c>
      <c r="N34" s="2"/>
      <c r="O34" s="2">
        <v>96.29</v>
      </c>
      <c r="P34" s="2">
        <v>48</v>
      </c>
      <c r="Q34" s="2"/>
      <c r="R34" s="2"/>
      <c r="S34" s="2"/>
      <c r="T34" s="2"/>
      <c r="U34" s="2"/>
      <c r="V34" s="2">
        <v>0</v>
      </c>
      <c r="W34" s="2" t="b">
        <v>0</v>
      </c>
      <c r="X34" s="4" t="s">
        <v>282</v>
      </c>
      <c r="Y34" s="2"/>
      <c r="Z34" s="2"/>
      <c r="AA34" s="2"/>
      <c r="AC34" s="5" t="str">
        <f t="shared" ref="AC34:AC65" si="1">IF(AB34="credible_renewal","true_positive",IF(AB34="not_credible_false_positive","false_positive",IF(AB34="plausible_censored","true_negative_or_plausible_censored",IF(AB34="missed_renewal_false_negative","false_negative",IF(OR(AB34="doubtful_but_possible",AB34="impossible_to_judge"),"not_applicable","")))))</f>
        <v/>
      </c>
      <c r="AD34" s="10"/>
    </row>
    <row r="35" spans="1:30" x14ac:dyDescent="0.3">
      <c r="A35" s="7" t="s">
        <v>283</v>
      </c>
      <c r="B35" s="7" t="s">
        <v>1186</v>
      </c>
      <c r="C35" s="7">
        <v>1</v>
      </c>
      <c r="D35" s="7" t="s">
        <v>1187</v>
      </c>
      <c r="E35" s="7" t="s">
        <v>284</v>
      </c>
      <c r="F35" s="7" t="s">
        <v>284</v>
      </c>
      <c r="G35" s="7" t="s">
        <v>285</v>
      </c>
      <c r="H35" s="7" t="s">
        <v>285</v>
      </c>
      <c r="I35" s="7">
        <v>32400000</v>
      </c>
      <c r="J35" s="7">
        <v>32400000</v>
      </c>
      <c r="K35" s="7" t="s">
        <v>1138</v>
      </c>
      <c r="L35" s="7" t="s">
        <v>286</v>
      </c>
      <c r="M35" s="7" t="s">
        <v>287</v>
      </c>
      <c r="N35" s="7" t="s">
        <v>288</v>
      </c>
      <c r="O35" s="7">
        <v>7.95</v>
      </c>
      <c r="P35" s="7">
        <v>12</v>
      </c>
      <c r="Q35" s="7">
        <v>0.9325</v>
      </c>
      <c r="R35" s="7">
        <v>1</v>
      </c>
      <c r="S35" s="7">
        <v>1</v>
      </c>
      <c r="T35" s="7">
        <v>0.66249999999999998</v>
      </c>
      <c r="U35" s="7">
        <v>0.47039999999999998</v>
      </c>
      <c r="V35" s="7">
        <v>2</v>
      </c>
      <c r="W35" s="7" t="b">
        <v>1</v>
      </c>
      <c r="X35" s="9" t="s">
        <v>289</v>
      </c>
      <c r="Y35" s="9" t="s">
        <v>290</v>
      </c>
      <c r="Z35" s="7"/>
      <c r="AA35" s="7"/>
      <c r="AC35" s="5" t="str">
        <f t="shared" si="1"/>
        <v/>
      </c>
      <c r="AD35" s="10"/>
    </row>
    <row r="36" spans="1:30" x14ac:dyDescent="0.3">
      <c r="A36" s="7" t="s">
        <v>291</v>
      </c>
      <c r="B36" s="7" t="s">
        <v>1188</v>
      </c>
      <c r="C36" s="7">
        <v>1</v>
      </c>
      <c r="D36" s="7" t="s">
        <v>1189</v>
      </c>
      <c r="E36" s="7" t="s">
        <v>292</v>
      </c>
      <c r="F36" s="7" t="s">
        <v>292</v>
      </c>
      <c r="G36" s="7" t="s">
        <v>293</v>
      </c>
      <c r="H36" s="7" t="s">
        <v>294</v>
      </c>
      <c r="I36" s="7"/>
      <c r="J36" s="7"/>
      <c r="K36" s="7" t="s">
        <v>1190</v>
      </c>
      <c r="L36" s="7" t="s">
        <v>295</v>
      </c>
      <c r="M36" s="7" t="s">
        <v>296</v>
      </c>
      <c r="N36" s="7" t="s">
        <v>297</v>
      </c>
      <c r="O36" s="7">
        <v>10.18</v>
      </c>
      <c r="P36" s="7">
        <v>4</v>
      </c>
      <c r="Q36" s="7">
        <v>0.58340000000000003</v>
      </c>
      <c r="R36" s="7">
        <v>0.47649999999999998</v>
      </c>
      <c r="S36" s="7"/>
      <c r="T36" s="7">
        <v>0.48470000000000002</v>
      </c>
      <c r="U36" s="7"/>
      <c r="V36" s="7">
        <v>1</v>
      </c>
      <c r="W36" s="7" t="b">
        <v>0</v>
      </c>
      <c r="X36" s="9" t="s">
        <v>298</v>
      </c>
      <c r="Y36" s="9" t="s">
        <v>299</v>
      </c>
      <c r="Z36" s="7"/>
      <c r="AA36" s="7"/>
      <c r="AC36" s="5" t="str">
        <f t="shared" si="1"/>
        <v/>
      </c>
      <c r="AD36" s="10"/>
    </row>
    <row r="37" spans="1:30" x14ac:dyDescent="0.3">
      <c r="A37" s="7" t="s">
        <v>300</v>
      </c>
      <c r="B37" s="7" t="s">
        <v>1191</v>
      </c>
      <c r="C37" s="7">
        <v>1</v>
      </c>
      <c r="D37" s="7" t="s">
        <v>1192</v>
      </c>
      <c r="E37" s="7" t="s">
        <v>301</v>
      </c>
      <c r="F37" s="7" t="s">
        <v>301</v>
      </c>
      <c r="G37" s="7" t="s">
        <v>302</v>
      </c>
      <c r="H37" s="7" t="s">
        <v>303</v>
      </c>
      <c r="I37" s="7">
        <v>39294100</v>
      </c>
      <c r="J37" s="7"/>
      <c r="K37" s="7" t="s">
        <v>1129</v>
      </c>
      <c r="L37" s="7" t="s">
        <v>304</v>
      </c>
      <c r="M37" s="7" t="s">
        <v>305</v>
      </c>
      <c r="N37" s="7" t="s">
        <v>306</v>
      </c>
      <c r="O37" s="7">
        <v>52.86</v>
      </c>
      <c r="P37" s="7">
        <v>48</v>
      </c>
      <c r="Q37" s="7">
        <v>0.53790000000000004</v>
      </c>
      <c r="R37" s="7">
        <v>0.33600000000000002</v>
      </c>
      <c r="S37" s="7"/>
      <c r="T37" s="7">
        <v>0.59519999999999995</v>
      </c>
      <c r="U37" s="7"/>
      <c r="V37" s="7">
        <v>1</v>
      </c>
      <c r="W37" s="7" t="b">
        <v>0</v>
      </c>
      <c r="X37" s="9" t="s">
        <v>307</v>
      </c>
      <c r="Y37" s="9" t="s">
        <v>308</v>
      </c>
      <c r="Z37" s="7"/>
      <c r="AA37" s="7"/>
      <c r="AC37" s="5" t="str">
        <f t="shared" si="1"/>
        <v/>
      </c>
      <c r="AD37" s="10"/>
    </row>
    <row r="38" spans="1:30" x14ac:dyDescent="0.3">
      <c r="A38" s="7" t="s">
        <v>309</v>
      </c>
      <c r="B38" s="7" t="s">
        <v>1193</v>
      </c>
      <c r="C38" s="7">
        <v>1</v>
      </c>
      <c r="D38" s="7" t="s">
        <v>1194</v>
      </c>
      <c r="E38" s="7" t="s">
        <v>284</v>
      </c>
      <c r="F38" s="7" t="s">
        <v>284</v>
      </c>
      <c r="G38" s="7" t="s">
        <v>310</v>
      </c>
      <c r="H38" s="7" t="s">
        <v>311</v>
      </c>
      <c r="I38" s="7">
        <v>35120000</v>
      </c>
      <c r="J38" s="7">
        <v>48800000</v>
      </c>
      <c r="K38" s="7" t="s">
        <v>1129</v>
      </c>
      <c r="L38" s="7" t="s">
        <v>312</v>
      </c>
      <c r="M38" s="7" t="s">
        <v>313</v>
      </c>
      <c r="N38" s="7" t="s">
        <v>314</v>
      </c>
      <c r="O38" s="7">
        <v>11.47</v>
      </c>
      <c r="P38" s="7">
        <v>7</v>
      </c>
      <c r="Q38" s="7">
        <v>0.46589999999999998</v>
      </c>
      <c r="R38" s="7">
        <v>0.47589999999999999</v>
      </c>
      <c r="S38" s="7">
        <v>0</v>
      </c>
      <c r="T38" s="7">
        <v>0.62790000000000001</v>
      </c>
      <c r="U38" s="7"/>
      <c r="V38" s="7">
        <v>1</v>
      </c>
      <c r="W38" s="7" t="b">
        <v>0</v>
      </c>
      <c r="X38" s="9" t="s">
        <v>315</v>
      </c>
      <c r="Y38" s="9" t="s">
        <v>316</v>
      </c>
      <c r="Z38" s="7"/>
      <c r="AA38" s="7"/>
      <c r="AC38" s="5" t="str">
        <f t="shared" si="1"/>
        <v/>
      </c>
      <c r="AD38" s="10"/>
    </row>
    <row r="39" spans="1:30" x14ac:dyDescent="0.3">
      <c r="A39" s="7" t="s">
        <v>317</v>
      </c>
      <c r="B39" s="7" t="s">
        <v>1195</v>
      </c>
      <c r="C39" s="7">
        <v>1</v>
      </c>
      <c r="D39" s="7" t="s">
        <v>1196</v>
      </c>
      <c r="E39" s="7" t="s">
        <v>128</v>
      </c>
      <c r="F39" s="7" t="s">
        <v>128</v>
      </c>
      <c r="G39" s="7" t="s">
        <v>318</v>
      </c>
      <c r="H39" s="7" t="s">
        <v>319</v>
      </c>
      <c r="I39" s="7">
        <v>45316210</v>
      </c>
      <c r="J39" s="7">
        <v>48000000</v>
      </c>
      <c r="K39" s="7" t="s">
        <v>1144</v>
      </c>
      <c r="L39" s="7" t="s">
        <v>320</v>
      </c>
      <c r="M39" s="7" t="s">
        <v>321</v>
      </c>
      <c r="N39" s="7" t="s">
        <v>322</v>
      </c>
      <c r="O39" s="7">
        <v>48.85</v>
      </c>
      <c r="P39" s="7">
        <v>48</v>
      </c>
      <c r="Q39" s="7">
        <v>0.53249999999999997</v>
      </c>
      <c r="R39" s="7">
        <v>0.49159999999999998</v>
      </c>
      <c r="S39" s="7">
        <v>0</v>
      </c>
      <c r="T39" s="7">
        <v>0.92920000000000003</v>
      </c>
      <c r="U39" s="7">
        <v>2.3E-3</v>
      </c>
      <c r="V39" s="7">
        <v>27</v>
      </c>
      <c r="W39" s="7" t="b">
        <v>0</v>
      </c>
      <c r="X39" s="9" t="s">
        <v>323</v>
      </c>
      <c r="Y39" s="9" t="s">
        <v>324</v>
      </c>
      <c r="Z39" s="7"/>
      <c r="AA39" s="7"/>
      <c r="AC39" s="5" t="str">
        <f t="shared" si="1"/>
        <v/>
      </c>
      <c r="AD39" s="10"/>
    </row>
    <row r="40" spans="1:30" x14ac:dyDescent="0.3">
      <c r="A40" s="7" t="s">
        <v>325</v>
      </c>
      <c r="B40" s="7" t="s">
        <v>1197</v>
      </c>
      <c r="C40" s="7">
        <v>1</v>
      </c>
      <c r="D40" s="7" t="s">
        <v>1198</v>
      </c>
      <c r="E40" s="7" t="s">
        <v>201</v>
      </c>
      <c r="F40" s="7" t="s">
        <v>201</v>
      </c>
      <c r="G40" s="7" t="s">
        <v>326</v>
      </c>
      <c r="H40" s="7" t="s">
        <v>327</v>
      </c>
      <c r="I40" s="7">
        <v>35811200</v>
      </c>
      <c r="J40" s="7">
        <v>35321100</v>
      </c>
      <c r="K40" s="7" t="s">
        <v>1129</v>
      </c>
      <c r="L40" s="7" t="s">
        <v>328</v>
      </c>
      <c r="M40" s="7" t="s">
        <v>329</v>
      </c>
      <c r="N40" s="7" t="s">
        <v>330</v>
      </c>
      <c r="O40" s="7">
        <v>11.47</v>
      </c>
      <c r="P40" s="7">
        <v>12</v>
      </c>
      <c r="Q40" s="7">
        <v>0.75319999999999998</v>
      </c>
      <c r="R40" s="7">
        <v>0.9052</v>
      </c>
      <c r="S40" s="7">
        <v>0.2</v>
      </c>
      <c r="T40" s="7">
        <v>0.95540000000000003</v>
      </c>
      <c r="U40" s="7">
        <v>0.30220000000000002</v>
      </c>
      <c r="V40" s="7">
        <v>2</v>
      </c>
      <c r="W40" s="7" t="b">
        <v>1</v>
      </c>
      <c r="X40" s="9" t="s">
        <v>331</v>
      </c>
      <c r="Y40" s="9" t="s">
        <v>332</v>
      </c>
      <c r="Z40" s="7"/>
      <c r="AA40" s="7"/>
      <c r="AC40" s="5" t="str">
        <f t="shared" si="1"/>
        <v/>
      </c>
      <c r="AD40" s="10"/>
    </row>
    <row r="41" spans="1:30" x14ac:dyDescent="0.3">
      <c r="A41" s="7" t="s">
        <v>333</v>
      </c>
      <c r="B41" s="7" t="s">
        <v>1199</v>
      </c>
      <c r="C41" s="7">
        <v>1</v>
      </c>
      <c r="D41" s="7" t="s">
        <v>1200</v>
      </c>
      <c r="E41" s="7" t="s">
        <v>334</v>
      </c>
      <c r="F41" s="7" t="s">
        <v>334</v>
      </c>
      <c r="G41" s="7" t="s">
        <v>335</v>
      </c>
      <c r="H41" s="7" t="s">
        <v>336</v>
      </c>
      <c r="I41" s="7">
        <v>32323500</v>
      </c>
      <c r="J41" s="7">
        <v>72611000</v>
      </c>
      <c r="K41" s="7" t="s">
        <v>1138</v>
      </c>
      <c r="L41" s="7" t="s">
        <v>337</v>
      </c>
      <c r="M41" s="7" t="s">
        <v>338</v>
      </c>
      <c r="N41" s="7" t="s">
        <v>339</v>
      </c>
      <c r="O41" s="7">
        <v>12.16</v>
      </c>
      <c r="P41" s="7">
        <v>12</v>
      </c>
      <c r="Q41" s="7">
        <v>0.48010000000000003</v>
      </c>
      <c r="R41" s="7">
        <v>0.33169999999999999</v>
      </c>
      <c r="S41" s="7">
        <v>0</v>
      </c>
      <c r="T41" s="7">
        <v>0.98709999999999998</v>
      </c>
      <c r="U41" s="7">
        <v>4.1300000000000003E-2</v>
      </c>
      <c r="V41" s="7">
        <v>7</v>
      </c>
      <c r="W41" s="7" t="b">
        <v>0</v>
      </c>
      <c r="X41" s="9" t="s">
        <v>340</v>
      </c>
      <c r="Y41" s="9" t="s">
        <v>341</v>
      </c>
      <c r="Z41" s="7"/>
      <c r="AA41" s="7"/>
      <c r="AC41" s="5" t="str">
        <f t="shared" si="1"/>
        <v/>
      </c>
      <c r="AD41" s="10"/>
    </row>
    <row r="42" spans="1:30" x14ac:dyDescent="0.3">
      <c r="A42" s="7" t="s">
        <v>342</v>
      </c>
      <c r="B42" s="7" t="s">
        <v>1201</v>
      </c>
      <c r="C42" s="7">
        <v>1</v>
      </c>
      <c r="D42" s="7" t="s">
        <v>1202</v>
      </c>
      <c r="E42" s="7" t="s">
        <v>343</v>
      </c>
      <c r="F42" s="7" t="s">
        <v>343</v>
      </c>
      <c r="G42" s="7" t="s">
        <v>344</v>
      </c>
      <c r="H42" s="7" t="s">
        <v>345</v>
      </c>
      <c r="I42" s="7">
        <v>35261000</v>
      </c>
      <c r="J42" s="7">
        <v>72413000</v>
      </c>
      <c r="K42" s="7" t="s">
        <v>1129</v>
      </c>
      <c r="L42" s="7" t="s">
        <v>116</v>
      </c>
      <c r="M42" s="7" t="s">
        <v>346</v>
      </c>
      <c r="N42" s="7" t="s">
        <v>347</v>
      </c>
      <c r="O42" s="7">
        <v>22.73</v>
      </c>
      <c r="P42" s="7">
        <v>12</v>
      </c>
      <c r="Q42" s="7">
        <v>0.4047</v>
      </c>
      <c r="R42" s="7">
        <v>0.58399999999999996</v>
      </c>
      <c r="S42" s="7">
        <v>0</v>
      </c>
      <c r="T42" s="7">
        <v>0.1056</v>
      </c>
      <c r="U42" s="7">
        <v>4.65E-2</v>
      </c>
      <c r="V42" s="7">
        <v>3</v>
      </c>
      <c r="W42" s="7" t="b">
        <v>0</v>
      </c>
      <c r="X42" s="9" t="s">
        <v>348</v>
      </c>
      <c r="Y42" s="9" t="s">
        <v>349</v>
      </c>
      <c r="Z42" s="7"/>
      <c r="AA42" s="7"/>
      <c r="AC42" s="5" t="str">
        <f t="shared" si="1"/>
        <v/>
      </c>
      <c r="AD42" s="10"/>
    </row>
    <row r="43" spans="1:30" x14ac:dyDescent="0.3">
      <c r="A43" s="2" t="s">
        <v>350</v>
      </c>
      <c r="B43" s="2" t="s">
        <v>1203</v>
      </c>
      <c r="C43" s="2">
        <v>0</v>
      </c>
      <c r="D43" s="2"/>
      <c r="E43" s="2" t="s">
        <v>351</v>
      </c>
      <c r="F43" s="2"/>
      <c r="G43" s="2" t="s">
        <v>352</v>
      </c>
      <c r="H43" s="2"/>
      <c r="I43" s="2">
        <v>48</v>
      </c>
      <c r="J43" s="2"/>
      <c r="K43" s="2" t="s">
        <v>1134</v>
      </c>
      <c r="L43" s="2" t="s">
        <v>353</v>
      </c>
      <c r="M43" s="2" t="s">
        <v>354</v>
      </c>
      <c r="N43" s="2"/>
      <c r="O43" s="2">
        <v>70.34</v>
      </c>
      <c r="P43" s="2">
        <v>48</v>
      </c>
      <c r="Q43" s="2"/>
      <c r="R43" s="2"/>
      <c r="S43" s="2"/>
      <c r="T43" s="2"/>
      <c r="U43" s="2"/>
      <c r="V43" s="2">
        <v>0</v>
      </c>
      <c r="W43" s="2" t="b">
        <v>0</v>
      </c>
      <c r="X43" s="4" t="s">
        <v>355</v>
      </c>
      <c r="Y43" s="2"/>
      <c r="Z43" s="2"/>
      <c r="AA43" s="2"/>
      <c r="AC43" s="5" t="str">
        <f t="shared" si="1"/>
        <v/>
      </c>
      <c r="AD43" s="10"/>
    </row>
    <row r="44" spans="1:30" x14ac:dyDescent="0.3">
      <c r="A44" s="2" t="s">
        <v>356</v>
      </c>
      <c r="B44" s="2" t="s">
        <v>1204</v>
      </c>
      <c r="C44" s="2">
        <v>0</v>
      </c>
      <c r="D44" s="2"/>
      <c r="E44" s="2" t="s">
        <v>357</v>
      </c>
      <c r="F44" s="2"/>
      <c r="G44" s="2" t="s">
        <v>358</v>
      </c>
      <c r="H44" s="2"/>
      <c r="I44" s="2">
        <v>72</v>
      </c>
      <c r="J44" s="2"/>
      <c r="K44" s="2" t="s">
        <v>1126</v>
      </c>
      <c r="L44" s="2" t="s">
        <v>264</v>
      </c>
      <c r="M44" s="2" t="s">
        <v>265</v>
      </c>
      <c r="N44" s="2"/>
      <c r="O44" s="2">
        <v>114.26</v>
      </c>
      <c r="P44" s="2">
        <v>48</v>
      </c>
      <c r="Q44" s="2"/>
      <c r="R44" s="2"/>
      <c r="S44" s="2"/>
      <c r="T44" s="2"/>
      <c r="U44" s="2"/>
      <c r="V44" s="2">
        <v>0</v>
      </c>
      <c r="W44" s="2" t="b">
        <v>0</v>
      </c>
      <c r="X44" s="4" t="s">
        <v>359</v>
      </c>
      <c r="Y44" s="2"/>
      <c r="Z44" s="2"/>
      <c r="AA44" s="2"/>
      <c r="AC44" s="5" t="str">
        <f t="shared" si="1"/>
        <v/>
      </c>
      <c r="AD44" s="10"/>
    </row>
    <row r="45" spans="1:30" x14ac:dyDescent="0.3">
      <c r="A45" s="7" t="s">
        <v>360</v>
      </c>
      <c r="B45" s="7" t="s">
        <v>1205</v>
      </c>
      <c r="C45" s="7">
        <v>1</v>
      </c>
      <c r="D45" s="7" t="s">
        <v>1206</v>
      </c>
      <c r="E45" s="7" t="s">
        <v>361</v>
      </c>
      <c r="F45" s="7" t="s">
        <v>361</v>
      </c>
      <c r="G45" s="7" t="s">
        <v>362</v>
      </c>
      <c r="H45" s="7" t="s">
        <v>363</v>
      </c>
      <c r="I45" s="7">
        <v>72268000</v>
      </c>
      <c r="J45" s="7">
        <v>72268000</v>
      </c>
      <c r="K45" s="7" t="s">
        <v>1126</v>
      </c>
      <c r="L45" s="7" t="s">
        <v>364</v>
      </c>
      <c r="M45" s="7" t="s">
        <v>365</v>
      </c>
      <c r="N45" s="7" t="s">
        <v>366</v>
      </c>
      <c r="O45" s="7">
        <v>47.01</v>
      </c>
      <c r="P45" s="7">
        <v>48</v>
      </c>
      <c r="Q45" s="7">
        <v>0.97799999999999998</v>
      </c>
      <c r="R45" s="7">
        <v>0.98629999999999995</v>
      </c>
      <c r="S45" s="7">
        <v>1</v>
      </c>
      <c r="T45" s="7">
        <v>0.91749999999999998</v>
      </c>
      <c r="U45" s="7">
        <v>0.48630000000000001</v>
      </c>
      <c r="V45" s="7">
        <v>3</v>
      </c>
      <c r="W45" s="7" t="b">
        <v>1</v>
      </c>
      <c r="X45" s="9" t="s">
        <v>367</v>
      </c>
      <c r="Y45" s="9" t="s">
        <v>368</v>
      </c>
      <c r="Z45" s="7"/>
      <c r="AA45" s="7"/>
      <c r="AC45" s="5" t="str">
        <f t="shared" si="1"/>
        <v/>
      </c>
      <c r="AD45" s="10"/>
    </row>
    <row r="46" spans="1:30" x14ac:dyDescent="0.3">
      <c r="A46" s="7" t="s">
        <v>369</v>
      </c>
      <c r="B46" s="7" t="s">
        <v>1207</v>
      </c>
      <c r="C46" s="7">
        <v>1</v>
      </c>
      <c r="D46" s="7" t="s">
        <v>1208</v>
      </c>
      <c r="E46" s="7" t="s">
        <v>370</v>
      </c>
      <c r="F46" s="7" t="s">
        <v>370</v>
      </c>
      <c r="G46" s="7" t="s">
        <v>371</v>
      </c>
      <c r="H46" s="7" t="s">
        <v>372</v>
      </c>
      <c r="I46" s="7">
        <v>72610000</v>
      </c>
      <c r="J46" s="7">
        <v>72610000</v>
      </c>
      <c r="K46" s="7" t="s">
        <v>1126</v>
      </c>
      <c r="L46" s="7" t="s">
        <v>373</v>
      </c>
      <c r="M46" s="7" t="s">
        <v>374</v>
      </c>
      <c r="N46" s="7" t="s">
        <v>375</v>
      </c>
      <c r="O46" s="7">
        <v>33.409999999999997</v>
      </c>
      <c r="P46" s="7">
        <v>24</v>
      </c>
      <c r="Q46" s="7">
        <v>0.74129999999999996</v>
      </c>
      <c r="R46" s="7">
        <v>0.74519999999999997</v>
      </c>
      <c r="S46" s="7">
        <v>1</v>
      </c>
      <c r="T46" s="7">
        <v>0.21579999999999999</v>
      </c>
      <c r="U46" s="7">
        <v>0.13980000000000001</v>
      </c>
      <c r="V46" s="7">
        <v>9</v>
      </c>
      <c r="W46" s="7" t="b">
        <v>1</v>
      </c>
      <c r="X46" s="9" t="s">
        <v>376</v>
      </c>
      <c r="Y46" s="9" t="s">
        <v>377</v>
      </c>
      <c r="Z46" s="7"/>
      <c r="AA46" s="7"/>
      <c r="AC46" s="5" t="str">
        <f t="shared" si="1"/>
        <v/>
      </c>
      <c r="AD46" s="10"/>
    </row>
    <row r="47" spans="1:30" x14ac:dyDescent="0.3">
      <c r="A47" s="2" t="s">
        <v>378</v>
      </c>
      <c r="B47" s="2" t="s">
        <v>1209</v>
      </c>
      <c r="C47" s="2">
        <v>0</v>
      </c>
      <c r="D47" s="2"/>
      <c r="E47" s="2" t="s">
        <v>379</v>
      </c>
      <c r="F47" s="2"/>
      <c r="G47" s="2" t="s">
        <v>380</v>
      </c>
      <c r="H47" s="2"/>
      <c r="I47" s="2">
        <v>32</v>
      </c>
      <c r="J47" s="2"/>
      <c r="K47" s="2" t="s">
        <v>1138</v>
      </c>
      <c r="L47" s="2" t="s">
        <v>381</v>
      </c>
      <c r="M47" s="2" t="s">
        <v>382</v>
      </c>
      <c r="N47" s="2"/>
      <c r="O47" s="2">
        <v>42.28</v>
      </c>
      <c r="P47" s="2">
        <v>24</v>
      </c>
      <c r="Q47" s="2"/>
      <c r="R47" s="2"/>
      <c r="S47" s="2"/>
      <c r="T47" s="2"/>
      <c r="U47" s="2"/>
      <c r="V47" s="2">
        <v>0</v>
      </c>
      <c r="W47" s="2" t="b">
        <v>0</v>
      </c>
      <c r="X47" s="4" t="s">
        <v>383</v>
      </c>
      <c r="Y47" s="2"/>
      <c r="Z47" s="2"/>
      <c r="AA47" s="2"/>
      <c r="AC47" s="5" t="str">
        <f t="shared" si="1"/>
        <v/>
      </c>
      <c r="AD47" s="10"/>
    </row>
    <row r="48" spans="1:30" x14ac:dyDescent="0.3">
      <c r="A48" s="7" t="s">
        <v>384</v>
      </c>
      <c r="B48" s="7" t="s">
        <v>1210</v>
      </c>
      <c r="C48" s="7">
        <v>1</v>
      </c>
      <c r="D48" s="7" t="s">
        <v>1211</v>
      </c>
      <c r="E48" s="7" t="s">
        <v>385</v>
      </c>
      <c r="F48" s="7" t="s">
        <v>385</v>
      </c>
      <c r="G48" s="7" t="s">
        <v>386</v>
      </c>
      <c r="H48" s="7" t="s">
        <v>387</v>
      </c>
      <c r="I48" s="7">
        <v>32522000</v>
      </c>
      <c r="J48" s="7">
        <v>37320000</v>
      </c>
      <c r="K48" s="7" t="s">
        <v>1138</v>
      </c>
      <c r="L48" s="7" t="s">
        <v>388</v>
      </c>
      <c r="M48" s="7" t="s">
        <v>389</v>
      </c>
      <c r="N48" s="7" t="s">
        <v>390</v>
      </c>
      <c r="O48" s="7">
        <v>12.42</v>
      </c>
      <c r="P48" s="7">
        <v>24</v>
      </c>
      <c r="Q48" s="7">
        <v>0.2447</v>
      </c>
      <c r="R48" s="7">
        <v>0.21929999999999999</v>
      </c>
      <c r="S48" s="7">
        <v>0</v>
      </c>
      <c r="T48" s="7">
        <v>3.4799999999999998E-2</v>
      </c>
      <c r="U48" s="7"/>
      <c r="V48" s="7">
        <v>1</v>
      </c>
      <c r="W48" s="7" t="b">
        <v>0</v>
      </c>
      <c r="X48" s="9" t="s">
        <v>391</v>
      </c>
      <c r="Y48" s="9" t="s">
        <v>392</v>
      </c>
      <c r="Z48" s="7"/>
      <c r="AA48" s="7"/>
      <c r="AC48" s="5" t="str">
        <f t="shared" si="1"/>
        <v/>
      </c>
      <c r="AD48" s="10"/>
    </row>
    <row r="49" spans="1:30" x14ac:dyDescent="0.3">
      <c r="A49" s="7" t="s">
        <v>393</v>
      </c>
      <c r="B49" s="7" t="s">
        <v>1212</v>
      </c>
      <c r="C49" s="7">
        <v>1</v>
      </c>
      <c r="D49" s="7" t="s">
        <v>1213</v>
      </c>
      <c r="E49" s="7" t="s">
        <v>394</v>
      </c>
      <c r="F49" s="7" t="s">
        <v>394</v>
      </c>
      <c r="G49" s="7" t="s">
        <v>395</v>
      </c>
      <c r="H49" s="7" t="s">
        <v>396</v>
      </c>
      <c r="I49" s="7">
        <v>72250000</v>
      </c>
      <c r="J49" s="7">
        <v>44470000</v>
      </c>
      <c r="K49" s="7" t="s">
        <v>1129</v>
      </c>
      <c r="L49" s="7" t="s">
        <v>397</v>
      </c>
      <c r="M49" s="7" t="s">
        <v>398</v>
      </c>
      <c r="N49" s="7" t="s">
        <v>399</v>
      </c>
      <c r="O49" s="7">
        <v>12.55</v>
      </c>
      <c r="P49" s="7">
        <v>24</v>
      </c>
      <c r="Q49" s="7">
        <v>0.38779999999999998</v>
      </c>
      <c r="R49" s="7">
        <v>0.5716</v>
      </c>
      <c r="S49" s="7">
        <v>0</v>
      </c>
      <c r="T49" s="7">
        <v>4.58E-2</v>
      </c>
      <c r="U49" s="7">
        <v>4.9299999999999997E-2</v>
      </c>
      <c r="V49" s="7">
        <v>2</v>
      </c>
      <c r="W49" s="7" t="b">
        <v>0</v>
      </c>
      <c r="X49" s="9" t="s">
        <v>400</v>
      </c>
      <c r="Y49" s="9" t="s">
        <v>401</v>
      </c>
      <c r="Z49" s="7"/>
      <c r="AA49" s="7"/>
      <c r="AC49" s="5" t="str">
        <f t="shared" si="1"/>
        <v/>
      </c>
      <c r="AD49" s="10"/>
    </row>
    <row r="50" spans="1:30" x14ac:dyDescent="0.3">
      <c r="A50" s="2" t="s">
        <v>402</v>
      </c>
      <c r="B50" s="2" t="s">
        <v>1214</v>
      </c>
      <c r="C50" s="2">
        <v>0</v>
      </c>
      <c r="D50" s="2"/>
      <c r="E50" s="2" t="s">
        <v>403</v>
      </c>
      <c r="F50" s="2"/>
      <c r="G50" s="2" t="s">
        <v>404</v>
      </c>
      <c r="H50" s="2"/>
      <c r="I50" s="2">
        <v>45</v>
      </c>
      <c r="J50" s="2"/>
      <c r="K50" s="2" t="s">
        <v>1144</v>
      </c>
      <c r="L50" s="2" t="s">
        <v>405</v>
      </c>
      <c r="M50" s="2" t="s">
        <v>406</v>
      </c>
      <c r="N50" s="2"/>
      <c r="O50" s="2">
        <v>60.61</v>
      </c>
      <c r="P50" s="2">
        <v>34</v>
      </c>
      <c r="Q50" s="2"/>
      <c r="R50" s="2"/>
      <c r="S50" s="2"/>
      <c r="T50" s="2"/>
      <c r="U50" s="2"/>
      <c r="V50" s="2">
        <v>0</v>
      </c>
      <c r="W50" s="2" t="b">
        <v>0</v>
      </c>
      <c r="X50" s="4" t="s">
        <v>407</v>
      </c>
      <c r="Y50" s="2"/>
      <c r="Z50" s="2"/>
      <c r="AA50" s="2"/>
      <c r="AC50" s="5" t="str">
        <f t="shared" si="1"/>
        <v/>
      </c>
      <c r="AD50" s="10"/>
    </row>
    <row r="51" spans="1:30" x14ac:dyDescent="0.3">
      <c r="A51" s="7" t="s">
        <v>408</v>
      </c>
      <c r="B51" s="7" t="s">
        <v>1215</v>
      </c>
      <c r="C51" s="7">
        <v>1</v>
      </c>
      <c r="D51" s="7" t="s">
        <v>1216</v>
      </c>
      <c r="E51" s="7" t="s">
        <v>32</v>
      </c>
      <c r="F51" s="7" t="s">
        <v>32</v>
      </c>
      <c r="G51" s="7" t="s">
        <v>409</v>
      </c>
      <c r="H51" s="7" t="s">
        <v>410</v>
      </c>
      <c r="I51" s="7">
        <v>72000000</v>
      </c>
      <c r="J51" s="7">
        <v>72000000</v>
      </c>
      <c r="K51" s="7" t="s">
        <v>1126</v>
      </c>
      <c r="L51" s="7" t="s">
        <v>411</v>
      </c>
      <c r="M51" s="7" t="s">
        <v>412</v>
      </c>
      <c r="N51" s="7" t="s">
        <v>413</v>
      </c>
      <c r="O51" s="7">
        <v>25.72</v>
      </c>
      <c r="P51" s="7">
        <v>24</v>
      </c>
      <c r="Q51" s="7">
        <v>0.59530000000000005</v>
      </c>
      <c r="R51" s="7">
        <v>0.56010000000000004</v>
      </c>
      <c r="S51" s="7">
        <v>0.2</v>
      </c>
      <c r="T51" s="7">
        <v>0.85640000000000005</v>
      </c>
      <c r="U51" s="7">
        <v>4.4499999999999998E-2</v>
      </c>
      <c r="V51" s="7">
        <v>29</v>
      </c>
      <c r="W51" s="7" t="b">
        <v>0</v>
      </c>
      <c r="X51" s="9" t="s">
        <v>414</v>
      </c>
      <c r="Y51" s="9" t="s">
        <v>415</v>
      </c>
      <c r="Z51" s="7"/>
      <c r="AA51" s="7"/>
      <c r="AC51" s="5" t="str">
        <f t="shared" si="1"/>
        <v/>
      </c>
      <c r="AD51" s="10"/>
    </row>
    <row r="52" spans="1:30" x14ac:dyDescent="0.3">
      <c r="A52" s="2" t="s">
        <v>416</v>
      </c>
      <c r="B52" s="2" t="s">
        <v>1217</v>
      </c>
      <c r="C52" s="2">
        <v>0</v>
      </c>
      <c r="D52" s="2"/>
      <c r="E52" s="2" t="s">
        <v>417</v>
      </c>
      <c r="F52" s="2"/>
      <c r="G52" s="2" t="s">
        <v>418</v>
      </c>
      <c r="H52" s="2"/>
      <c r="I52" s="2">
        <v>72</v>
      </c>
      <c r="J52" s="2"/>
      <c r="K52" s="2" t="s">
        <v>1141</v>
      </c>
      <c r="L52" s="2" t="s">
        <v>419</v>
      </c>
      <c r="M52" s="2" t="s">
        <v>420</v>
      </c>
      <c r="N52" s="2"/>
      <c r="O52" s="2">
        <v>104.3</v>
      </c>
      <c r="P52" s="2">
        <v>60</v>
      </c>
      <c r="Q52" s="2"/>
      <c r="R52" s="2"/>
      <c r="S52" s="2"/>
      <c r="T52" s="2"/>
      <c r="U52" s="2"/>
      <c r="V52" s="2">
        <v>0</v>
      </c>
      <c r="W52" s="2" t="b">
        <v>0</v>
      </c>
      <c r="X52" s="4" t="s">
        <v>421</v>
      </c>
      <c r="Y52" s="2"/>
      <c r="Z52" s="2"/>
      <c r="AA52" s="2"/>
      <c r="AC52" s="5" t="str">
        <f t="shared" si="1"/>
        <v/>
      </c>
      <c r="AD52" s="10"/>
    </row>
    <row r="53" spans="1:30" x14ac:dyDescent="0.3">
      <c r="A53" s="7" t="s">
        <v>422</v>
      </c>
      <c r="B53" s="7" t="s">
        <v>1218</v>
      </c>
      <c r="C53" s="7">
        <v>1</v>
      </c>
      <c r="D53" s="7" t="s">
        <v>1219</v>
      </c>
      <c r="E53" s="7" t="s">
        <v>423</v>
      </c>
      <c r="F53" s="7" t="s">
        <v>423</v>
      </c>
      <c r="G53" s="7" t="s">
        <v>424</v>
      </c>
      <c r="H53" s="7" t="s">
        <v>425</v>
      </c>
      <c r="I53" s="7">
        <v>72267000</v>
      </c>
      <c r="J53" s="7">
        <v>72267000</v>
      </c>
      <c r="K53" s="7" t="s">
        <v>1126</v>
      </c>
      <c r="L53" s="7" t="s">
        <v>426</v>
      </c>
      <c r="M53" s="7" t="s">
        <v>427</v>
      </c>
      <c r="N53" s="7" t="s">
        <v>428</v>
      </c>
      <c r="O53" s="7">
        <v>15.05</v>
      </c>
      <c r="P53" s="7">
        <v>12</v>
      </c>
      <c r="Q53" s="7">
        <v>0.87870000000000004</v>
      </c>
      <c r="R53" s="7">
        <v>0.8236</v>
      </c>
      <c r="S53" s="7">
        <v>1</v>
      </c>
      <c r="T53" s="7">
        <v>0.74619999999999997</v>
      </c>
      <c r="U53" s="7">
        <v>2.2599999999999999E-2</v>
      </c>
      <c r="V53" s="7">
        <v>2</v>
      </c>
      <c r="W53" s="7" t="b">
        <v>0</v>
      </c>
      <c r="X53" s="9" t="s">
        <v>429</v>
      </c>
      <c r="Y53" s="9" t="s">
        <v>430</v>
      </c>
      <c r="Z53" s="7"/>
      <c r="AA53" s="7"/>
      <c r="AC53" s="5" t="str">
        <f t="shared" si="1"/>
        <v/>
      </c>
      <c r="AD53" s="10"/>
    </row>
    <row r="54" spans="1:30" x14ac:dyDescent="0.3">
      <c r="A54" s="2" t="s">
        <v>431</v>
      </c>
      <c r="B54" s="2" t="s">
        <v>1220</v>
      </c>
      <c r="C54" s="2">
        <v>0</v>
      </c>
      <c r="D54" s="2"/>
      <c r="E54" s="2" t="s">
        <v>432</v>
      </c>
      <c r="F54" s="2"/>
      <c r="G54" s="2" t="s">
        <v>433</v>
      </c>
      <c r="H54" s="2"/>
      <c r="I54" s="2">
        <v>48</v>
      </c>
      <c r="J54" s="2"/>
      <c r="K54" s="2" t="s">
        <v>1134</v>
      </c>
      <c r="L54" s="2" t="s">
        <v>434</v>
      </c>
      <c r="M54" s="2" t="s">
        <v>435</v>
      </c>
      <c r="N54" s="2"/>
      <c r="O54" s="2">
        <v>77.459999999999994</v>
      </c>
      <c r="P54" s="2">
        <v>48</v>
      </c>
      <c r="Q54" s="2"/>
      <c r="R54" s="2"/>
      <c r="S54" s="2"/>
      <c r="T54" s="2"/>
      <c r="U54" s="2"/>
      <c r="V54" s="2">
        <v>0</v>
      </c>
      <c r="W54" s="2" t="b">
        <v>0</v>
      </c>
      <c r="X54" s="4" t="s">
        <v>436</v>
      </c>
      <c r="Y54" s="2"/>
      <c r="Z54" s="2"/>
      <c r="AA54" s="2"/>
      <c r="AC54" s="5" t="str">
        <f t="shared" si="1"/>
        <v/>
      </c>
      <c r="AD54" s="10"/>
    </row>
    <row r="55" spans="1:30" x14ac:dyDescent="0.3">
      <c r="A55" s="7" t="s">
        <v>437</v>
      </c>
      <c r="B55" s="7" t="s">
        <v>1221</v>
      </c>
      <c r="C55" s="7">
        <v>1</v>
      </c>
      <c r="D55" s="7" t="s">
        <v>1155</v>
      </c>
      <c r="E55" s="7" t="s">
        <v>41</v>
      </c>
      <c r="F55" s="7" t="s">
        <v>41</v>
      </c>
      <c r="G55" s="7" t="s">
        <v>438</v>
      </c>
      <c r="H55" s="7" t="s">
        <v>138</v>
      </c>
      <c r="I55" s="7">
        <v>72267000</v>
      </c>
      <c r="J55" s="7">
        <v>72267000</v>
      </c>
      <c r="K55" s="7" t="s">
        <v>1126</v>
      </c>
      <c r="L55" s="7" t="s">
        <v>439</v>
      </c>
      <c r="M55" s="7" t="s">
        <v>440</v>
      </c>
      <c r="N55" s="7" t="s">
        <v>141</v>
      </c>
      <c r="O55" s="7">
        <v>45.76</v>
      </c>
      <c r="P55" s="7">
        <v>48</v>
      </c>
      <c r="Q55" s="7">
        <v>0.83069999999999999</v>
      </c>
      <c r="R55" s="7">
        <v>0.67010000000000003</v>
      </c>
      <c r="S55" s="7">
        <v>1</v>
      </c>
      <c r="T55" s="7">
        <v>0.8135</v>
      </c>
      <c r="U55" s="7">
        <v>0.20399999999999999</v>
      </c>
      <c r="V55" s="7">
        <v>9</v>
      </c>
      <c r="W55" s="7" t="b">
        <v>1</v>
      </c>
      <c r="X55" s="9" t="s">
        <v>441</v>
      </c>
      <c r="Y55" s="9" t="s">
        <v>143</v>
      </c>
      <c r="Z55" s="7"/>
      <c r="AA55" s="7"/>
      <c r="AC55" s="5" t="str">
        <f t="shared" si="1"/>
        <v/>
      </c>
      <c r="AD55" s="10"/>
    </row>
    <row r="56" spans="1:30" x14ac:dyDescent="0.3">
      <c r="A56" s="7" t="s">
        <v>442</v>
      </c>
      <c r="B56" s="7" t="s">
        <v>1222</v>
      </c>
      <c r="C56" s="7">
        <v>1</v>
      </c>
      <c r="D56" s="7" t="s">
        <v>1223</v>
      </c>
      <c r="E56" s="7" t="s">
        <v>443</v>
      </c>
      <c r="F56" s="7" t="s">
        <v>443</v>
      </c>
      <c r="G56" s="7" t="s">
        <v>444</v>
      </c>
      <c r="H56" s="7" t="s">
        <v>445</v>
      </c>
      <c r="I56" s="7">
        <v>48000000</v>
      </c>
      <c r="J56" s="7">
        <v>72500000</v>
      </c>
      <c r="K56" s="7" t="s">
        <v>1134</v>
      </c>
      <c r="L56" s="7" t="s">
        <v>446</v>
      </c>
      <c r="M56" s="7" t="s">
        <v>447</v>
      </c>
      <c r="N56" s="7" t="s">
        <v>159</v>
      </c>
      <c r="O56" s="7">
        <v>25.82</v>
      </c>
      <c r="P56" s="7">
        <v>24</v>
      </c>
      <c r="Q56" s="7">
        <v>0.44519999999999998</v>
      </c>
      <c r="R56" s="7">
        <v>0.31390000000000001</v>
      </c>
      <c r="S56" s="7">
        <v>0</v>
      </c>
      <c r="T56" s="7">
        <v>0.84819999999999995</v>
      </c>
      <c r="U56" s="7">
        <v>8.8200000000000001E-2</v>
      </c>
      <c r="V56" s="7">
        <v>2</v>
      </c>
      <c r="W56" s="7" t="b">
        <v>0</v>
      </c>
      <c r="X56" s="9" t="s">
        <v>448</v>
      </c>
      <c r="Y56" s="9" t="s">
        <v>449</v>
      </c>
      <c r="Z56" s="7"/>
      <c r="AA56" s="7"/>
      <c r="AC56" s="5" t="str">
        <f t="shared" si="1"/>
        <v/>
      </c>
      <c r="AD56" s="10"/>
    </row>
    <row r="57" spans="1:30" x14ac:dyDescent="0.3">
      <c r="A57" s="2" t="s">
        <v>450</v>
      </c>
      <c r="B57" s="2" t="s">
        <v>1224</v>
      </c>
      <c r="C57" s="2">
        <v>0</v>
      </c>
      <c r="D57" s="2"/>
      <c r="E57" s="2" t="s">
        <v>432</v>
      </c>
      <c r="F57" s="2"/>
      <c r="G57" s="2" t="s">
        <v>451</v>
      </c>
      <c r="H57" s="2"/>
      <c r="I57" s="2">
        <v>48</v>
      </c>
      <c r="J57" s="2"/>
      <c r="K57" s="2" t="s">
        <v>1134</v>
      </c>
      <c r="L57" s="2" t="s">
        <v>452</v>
      </c>
      <c r="M57" s="2" t="s">
        <v>453</v>
      </c>
      <c r="N57" s="2"/>
      <c r="O57" s="2">
        <v>74.180000000000007</v>
      </c>
      <c r="P57" s="2">
        <v>48</v>
      </c>
      <c r="Q57" s="2"/>
      <c r="R57" s="2"/>
      <c r="S57" s="2"/>
      <c r="T57" s="2"/>
      <c r="U57" s="2"/>
      <c r="V57" s="2">
        <v>0</v>
      </c>
      <c r="W57" s="2" t="b">
        <v>0</v>
      </c>
      <c r="X57" s="4" t="s">
        <v>454</v>
      </c>
      <c r="Y57" s="2"/>
      <c r="Z57" s="2"/>
      <c r="AA57" s="2"/>
      <c r="AC57" s="5" t="str">
        <f t="shared" si="1"/>
        <v/>
      </c>
      <c r="AD57" s="10"/>
    </row>
    <row r="58" spans="1:30" x14ac:dyDescent="0.3">
      <c r="A58" s="7" t="s">
        <v>455</v>
      </c>
      <c r="B58" s="7" t="s">
        <v>1225</v>
      </c>
      <c r="C58" s="7">
        <v>1</v>
      </c>
      <c r="D58" s="7" t="s">
        <v>1226</v>
      </c>
      <c r="E58" s="7" t="s">
        <v>128</v>
      </c>
      <c r="F58" s="7" t="s">
        <v>128</v>
      </c>
      <c r="G58" s="7" t="s">
        <v>456</v>
      </c>
      <c r="H58" s="7" t="s">
        <v>457</v>
      </c>
      <c r="I58" s="7">
        <v>48000000</v>
      </c>
      <c r="J58" s="7">
        <v>72267100</v>
      </c>
      <c r="K58" s="7" t="s">
        <v>1134</v>
      </c>
      <c r="L58" s="7" t="s">
        <v>458</v>
      </c>
      <c r="M58" s="7" t="s">
        <v>459</v>
      </c>
      <c r="N58" s="7" t="s">
        <v>460</v>
      </c>
      <c r="O58" s="7">
        <v>58.44</v>
      </c>
      <c r="P58" s="7">
        <v>60</v>
      </c>
      <c r="Q58" s="7">
        <v>0.55789999999999995</v>
      </c>
      <c r="R58" s="7">
        <v>0.5847</v>
      </c>
      <c r="S58" s="7">
        <v>0</v>
      </c>
      <c r="T58" s="7">
        <v>0.87019999999999997</v>
      </c>
      <c r="U58" s="7">
        <v>2.1000000000000001E-2</v>
      </c>
      <c r="V58" s="7">
        <v>29</v>
      </c>
      <c r="W58" s="7" t="b">
        <v>0</v>
      </c>
      <c r="X58" s="9" t="s">
        <v>461</v>
      </c>
      <c r="Y58" s="9" t="s">
        <v>462</v>
      </c>
      <c r="Z58" s="7"/>
      <c r="AA58" s="7"/>
      <c r="AC58" s="5" t="str">
        <f t="shared" si="1"/>
        <v/>
      </c>
      <c r="AD58" s="10"/>
    </row>
    <row r="59" spans="1:30" x14ac:dyDescent="0.3">
      <c r="A59" s="7" t="s">
        <v>463</v>
      </c>
      <c r="B59" s="7" t="s">
        <v>1227</v>
      </c>
      <c r="C59" s="7">
        <v>1</v>
      </c>
      <c r="D59" s="7" t="s">
        <v>1228</v>
      </c>
      <c r="E59" s="7" t="s">
        <v>464</v>
      </c>
      <c r="F59" s="7" t="s">
        <v>464</v>
      </c>
      <c r="G59" s="7" t="s">
        <v>465</v>
      </c>
      <c r="H59" s="7" t="s">
        <v>466</v>
      </c>
      <c r="I59" s="7">
        <v>18143000</v>
      </c>
      <c r="J59" s="7">
        <v>72212000</v>
      </c>
      <c r="K59" s="7" t="s">
        <v>1144</v>
      </c>
      <c r="L59" s="7" t="s">
        <v>467</v>
      </c>
      <c r="M59" s="7" t="s">
        <v>468</v>
      </c>
      <c r="N59" s="7" t="s">
        <v>469</v>
      </c>
      <c r="O59" s="7">
        <v>23.32</v>
      </c>
      <c r="P59" s="7">
        <v>12</v>
      </c>
      <c r="Q59" s="7">
        <v>0.40960000000000002</v>
      </c>
      <c r="R59" s="7">
        <v>0.621</v>
      </c>
      <c r="S59" s="7">
        <v>0</v>
      </c>
      <c r="T59" s="7">
        <v>5.6300000000000003E-2</v>
      </c>
      <c r="U59" s="7"/>
      <c r="V59" s="7">
        <v>1</v>
      </c>
      <c r="W59" s="7" t="b">
        <v>0</v>
      </c>
      <c r="X59" s="9" t="s">
        <v>470</v>
      </c>
      <c r="Y59" s="9" t="s">
        <v>471</v>
      </c>
      <c r="Z59" s="7"/>
      <c r="AA59" s="7"/>
      <c r="AC59" s="5" t="str">
        <f t="shared" si="1"/>
        <v/>
      </c>
      <c r="AD59" s="10"/>
    </row>
    <row r="60" spans="1:30" x14ac:dyDescent="0.3">
      <c r="A60" s="7" t="s">
        <v>472</v>
      </c>
      <c r="B60" s="7" t="s">
        <v>1229</v>
      </c>
      <c r="C60" s="7">
        <v>1</v>
      </c>
      <c r="D60" s="7" t="s">
        <v>1230</v>
      </c>
      <c r="E60" s="7" t="s">
        <v>473</v>
      </c>
      <c r="F60" s="7" t="s">
        <v>473</v>
      </c>
      <c r="G60" s="7" t="s">
        <v>474</v>
      </c>
      <c r="H60" s="7" t="s">
        <v>475</v>
      </c>
      <c r="I60" s="7">
        <v>72000000</v>
      </c>
      <c r="J60" s="7">
        <v>31625100</v>
      </c>
      <c r="K60" s="7" t="s">
        <v>1126</v>
      </c>
      <c r="L60" s="7" t="s">
        <v>476</v>
      </c>
      <c r="M60" s="7" t="s">
        <v>477</v>
      </c>
      <c r="N60" s="7" t="s">
        <v>478</v>
      </c>
      <c r="O60" s="7">
        <v>10.71</v>
      </c>
      <c r="P60" s="7">
        <v>12</v>
      </c>
      <c r="Q60" s="7">
        <v>0.48080000000000001</v>
      </c>
      <c r="R60" s="7">
        <v>0.38069999999999998</v>
      </c>
      <c r="S60" s="7">
        <v>0</v>
      </c>
      <c r="T60" s="7">
        <v>0.89249999999999996</v>
      </c>
      <c r="U60" s="7"/>
      <c r="V60" s="7">
        <v>1</v>
      </c>
      <c r="W60" s="7" t="b">
        <v>0</v>
      </c>
      <c r="X60" s="9" t="s">
        <v>479</v>
      </c>
      <c r="Y60" s="9" t="s">
        <v>480</v>
      </c>
      <c r="Z60" s="7"/>
      <c r="AA60" s="7"/>
      <c r="AC60" s="5" t="str">
        <f t="shared" si="1"/>
        <v/>
      </c>
      <c r="AD60" s="10"/>
    </row>
    <row r="61" spans="1:30" x14ac:dyDescent="0.3">
      <c r="A61" s="2" t="s">
        <v>481</v>
      </c>
      <c r="B61" s="2" t="s">
        <v>1231</v>
      </c>
      <c r="C61" s="2">
        <v>0</v>
      </c>
      <c r="D61" s="2"/>
      <c r="E61" s="2" t="s">
        <v>482</v>
      </c>
      <c r="F61" s="2"/>
      <c r="G61" s="2" t="s">
        <v>483</v>
      </c>
      <c r="H61" s="2"/>
      <c r="I61" s="2">
        <v>32</v>
      </c>
      <c r="J61" s="2"/>
      <c r="K61" s="2" t="s">
        <v>1138</v>
      </c>
      <c r="L61" s="2" t="s">
        <v>484</v>
      </c>
      <c r="M61" s="2" t="s">
        <v>485</v>
      </c>
      <c r="N61" s="2"/>
      <c r="O61" s="2">
        <v>94.94</v>
      </c>
      <c r="P61" s="2">
        <v>12</v>
      </c>
      <c r="Q61" s="2"/>
      <c r="R61" s="2"/>
      <c r="S61" s="2"/>
      <c r="T61" s="2"/>
      <c r="U61" s="2"/>
      <c r="V61" s="2">
        <v>0</v>
      </c>
      <c r="W61" s="2" t="b">
        <v>0</v>
      </c>
      <c r="X61" s="4" t="s">
        <v>486</v>
      </c>
      <c r="Y61" s="2"/>
      <c r="Z61" s="2" t="s">
        <v>487</v>
      </c>
      <c r="AA61" s="2" t="s">
        <v>488</v>
      </c>
      <c r="AC61" s="5" t="str">
        <f t="shared" si="1"/>
        <v/>
      </c>
      <c r="AD61" s="10"/>
    </row>
    <row r="62" spans="1:30" x14ac:dyDescent="0.3">
      <c r="A62" s="7" t="s">
        <v>489</v>
      </c>
      <c r="B62" s="7" t="s">
        <v>1232</v>
      </c>
      <c r="C62" s="7">
        <v>1</v>
      </c>
      <c r="D62" s="7" t="s">
        <v>1233</v>
      </c>
      <c r="E62" s="7" t="s">
        <v>490</v>
      </c>
      <c r="F62" s="7" t="s">
        <v>490</v>
      </c>
      <c r="G62" s="7" t="s">
        <v>491</v>
      </c>
      <c r="H62" s="7" t="s">
        <v>492</v>
      </c>
      <c r="I62" s="7">
        <v>48612000</v>
      </c>
      <c r="J62" s="7">
        <v>72611000</v>
      </c>
      <c r="K62" s="7" t="s">
        <v>1134</v>
      </c>
      <c r="L62" s="7" t="s">
        <v>493</v>
      </c>
      <c r="M62" s="7" t="s">
        <v>494</v>
      </c>
      <c r="N62" s="7" t="s">
        <v>495</v>
      </c>
      <c r="O62" s="7">
        <v>11.47</v>
      </c>
      <c r="P62" s="7">
        <v>12</v>
      </c>
      <c r="Q62" s="7">
        <v>0.6139</v>
      </c>
      <c r="R62" s="7">
        <v>0.68200000000000005</v>
      </c>
      <c r="S62" s="7">
        <v>0</v>
      </c>
      <c r="T62" s="7">
        <v>0.95540000000000003</v>
      </c>
      <c r="U62" s="7">
        <v>1.15E-2</v>
      </c>
      <c r="V62" s="7">
        <v>3</v>
      </c>
      <c r="W62" s="7" t="b">
        <v>0</v>
      </c>
      <c r="X62" s="9" t="s">
        <v>496</v>
      </c>
      <c r="Y62" s="9" t="s">
        <v>497</v>
      </c>
      <c r="Z62" s="7"/>
      <c r="AA62" s="7"/>
      <c r="AC62" s="5" t="str">
        <f t="shared" si="1"/>
        <v/>
      </c>
      <c r="AD62" s="10"/>
    </row>
    <row r="63" spans="1:30" x14ac:dyDescent="0.3">
      <c r="A63" s="7" t="s">
        <v>498</v>
      </c>
      <c r="B63" s="7" t="s">
        <v>1234</v>
      </c>
      <c r="C63" s="7">
        <v>1</v>
      </c>
      <c r="D63" s="7" t="s">
        <v>1235</v>
      </c>
      <c r="E63" s="7" t="s">
        <v>128</v>
      </c>
      <c r="F63" s="7" t="s">
        <v>128</v>
      </c>
      <c r="G63" s="7" t="s">
        <v>499</v>
      </c>
      <c r="H63" s="7" t="s">
        <v>500</v>
      </c>
      <c r="I63" s="7">
        <v>72000000</v>
      </c>
      <c r="J63" s="7">
        <v>72316000</v>
      </c>
      <c r="K63" s="7" t="s">
        <v>1126</v>
      </c>
      <c r="L63" s="7" t="s">
        <v>501</v>
      </c>
      <c r="M63" s="7" t="s">
        <v>122</v>
      </c>
      <c r="N63" s="7" t="s">
        <v>502</v>
      </c>
      <c r="O63" s="7">
        <v>50.85</v>
      </c>
      <c r="P63" s="7">
        <v>48</v>
      </c>
      <c r="Q63" s="7">
        <v>0.52210000000000001</v>
      </c>
      <c r="R63" s="7">
        <v>0.42420000000000002</v>
      </c>
      <c r="S63" s="7">
        <v>0.2</v>
      </c>
      <c r="T63" s="7">
        <v>0.76219999999999999</v>
      </c>
      <c r="U63" s="7">
        <v>5.4999999999999997E-3</v>
      </c>
      <c r="V63" s="7">
        <v>28</v>
      </c>
      <c r="W63" s="7" t="b">
        <v>0</v>
      </c>
      <c r="X63" s="9" t="s">
        <v>503</v>
      </c>
      <c r="Y63" s="9" t="s">
        <v>504</v>
      </c>
      <c r="Z63" s="7"/>
      <c r="AA63" s="7"/>
      <c r="AC63" s="5" t="str">
        <f t="shared" si="1"/>
        <v/>
      </c>
      <c r="AD63" s="10"/>
    </row>
    <row r="64" spans="1:30" x14ac:dyDescent="0.3">
      <c r="A64" s="7" t="s">
        <v>505</v>
      </c>
      <c r="B64" s="7" t="s">
        <v>1182</v>
      </c>
      <c r="C64" s="7">
        <v>1</v>
      </c>
      <c r="D64" s="7" t="s">
        <v>1236</v>
      </c>
      <c r="E64" s="7" t="s">
        <v>261</v>
      </c>
      <c r="F64" s="7" t="s">
        <v>261</v>
      </c>
      <c r="G64" s="7" t="s">
        <v>263</v>
      </c>
      <c r="H64" s="7" t="s">
        <v>506</v>
      </c>
      <c r="I64" s="7">
        <v>72600000</v>
      </c>
      <c r="J64" s="7">
        <v>72250000</v>
      </c>
      <c r="K64" s="7" t="s">
        <v>1126</v>
      </c>
      <c r="L64" s="7" t="s">
        <v>266</v>
      </c>
      <c r="M64" s="7" t="s">
        <v>507</v>
      </c>
      <c r="N64" s="7" t="s">
        <v>508</v>
      </c>
      <c r="O64" s="7">
        <v>10.71</v>
      </c>
      <c r="P64" s="7">
        <v>12</v>
      </c>
      <c r="Q64" s="7">
        <v>0.59930000000000005</v>
      </c>
      <c r="R64" s="7">
        <v>0.55200000000000005</v>
      </c>
      <c r="S64" s="7">
        <v>0.2</v>
      </c>
      <c r="T64" s="7">
        <v>0.89249999999999996</v>
      </c>
      <c r="U64" s="7">
        <v>5.1999999999999998E-3</v>
      </c>
      <c r="V64" s="7">
        <v>3</v>
      </c>
      <c r="W64" s="7" t="b">
        <v>0</v>
      </c>
      <c r="X64" s="9" t="s">
        <v>268</v>
      </c>
      <c r="Y64" s="9" t="s">
        <v>509</v>
      </c>
      <c r="Z64" s="7"/>
      <c r="AA64" s="7"/>
      <c r="AC64" s="5" t="str">
        <f t="shared" si="1"/>
        <v/>
      </c>
      <c r="AD64" s="10"/>
    </row>
    <row r="65" spans="1:30" x14ac:dyDescent="0.3">
      <c r="A65" s="7" t="s">
        <v>510</v>
      </c>
      <c r="B65" s="7" t="s">
        <v>1237</v>
      </c>
      <c r="C65" s="7">
        <v>1</v>
      </c>
      <c r="D65" s="7" t="s">
        <v>1238</v>
      </c>
      <c r="E65" s="7" t="s">
        <v>511</v>
      </c>
      <c r="F65" s="7" t="s">
        <v>511</v>
      </c>
      <c r="G65" s="7" t="s">
        <v>512</v>
      </c>
      <c r="H65" s="7" t="s">
        <v>512</v>
      </c>
      <c r="I65" s="7">
        <v>72224000</v>
      </c>
      <c r="J65" s="7">
        <v>72224000</v>
      </c>
      <c r="K65" s="7" t="s">
        <v>1126</v>
      </c>
      <c r="L65" s="7" t="s">
        <v>513</v>
      </c>
      <c r="M65" s="7" t="s">
        <v>514</v>
      </c>
      <c r="N65" s="7" t="s">
        <v>515</v>
      </c>
      <c r="O65" s="7">
        <v>13.21</v>
      </c>
      <c r="P65" s="7">
        <v>16</v>
      </c>
      <c r="Q65" s="7">
        <v>0.95340000000000003</v>
      </c>
      <c r="R65" s="7">
        <v>1</v>
      </c>
      <c r="S65" s="7">
        <v>1</v>
      </c>
      <c r="T65" s="7">
        <v>0.76719999999999999</v>
      </c>
      <c r="U65" s="7">
        <v>3.1800000000000002E-2</v>
      </c>
      <c r="V65" s="7">
        <v>2</v>
      </c>
      <c r="W65" s="7" t="b">
        <v>0</v>
      </c>
      <c r="X65" s="9" t="s">
        <v>516</v>
      </c>
      <c r="Y65" s="9" t="s">
        <v>517</v>
      </c>
      <c r="Z65" s="7"/>
      <c r="AA65" s="7"/>
      <c r="AC65" s="5" t="str">
        <f t="shared" si="1"/>
        <v/>
      </c>
      <c r="AD65" s="10"/>
    </row>
    <row r="66" spans="1:30" x14ac:dyDescent="0.3">
      <c r="A66" s="2" t="s">
        <v>518</v>
      </c>
      <c r="B66" s="2" t="s">
        <v>1239</v>
      </c>
      <c r="C66" s="2">
        <v>0</v>
      </c>
      <c r="D66" s="2"/>
      <c r="E66" s="2" t="s">
        <v>519</v>
      </c>
      <c r="F66" s="2"/>
      <c r="G66" s="2" t="s">
        <v>520</v>
      </c>
      <c r="H66" s="2"/>
      <c r="I66" s="2">
        <v>35</v>
      </c>
      <c r="J66" s="2"/>
      <c r="K66" s="2" t="s">
        <v>1129</v>
      </c>
      <c r="L66" s="2" t="s">
        <v>521</v>
      </c>
      <c r="M66" s="2" t="s">
        <v>522</v>
      </c>
      <c r="N66" s="2"/>
      <c r="O66" s="2">
        <v>91.46</v>
      </c>
      <c r="P66" s="2">
        <v>12</v>
      </c>
      <c r="Q66" s="2"/>
      <c r="R66" s="2"/>
      <c r="S66" s="2"/>
      <c r="T66" s="2"/>
      <c r="U66" s="2"/>
      <c r="V66" s="2">
        <v>0</v>
      </c>
      <c r="W66" s="2" t="b">
        <v>0</v>
      </c>
      <c r="X66" s="4" t="s">
        <v>523</v>
      </c>
      <c r="Y66" s="2"/>
      <c r="Z66" s="2" t="s">
        <v>524</v>
      </c>
      <c r="AA66" s="2" t="s">
        <v>525</v>
      </c>
      <c r="AC66" s="5" t="str">
        <f t="shared" ref="AC66:AC97" si="2">IF(AB66="credible_renewal","true_positive",IF(AB66="not_credible_false_positive","false_positive",IF(AB66="plausible_censored","true_negative_or_plausible_censored",IF(AB66="missed_renewal_false_negative","false_negative",IF(OR(AB66="doubtful_but_possible",AB66="impossible_to_judge"),"not_applicable","")))))</f>
        <v/>
      </c>
      <c r="AD66" s="10"/>
    </row>
    <row r="67" spans="1:30" x14ac:dyDescent="0.3">
      <c r="A67" s="7" t="s">
        <v>526</v>
      </c>
      <c r="B67" s="7" t="s">
        <v>1240</v>
      </c>
      <c r="C67" s="7">
        <v>1</v>
      </c>
      <c r="D67" s="7" t="s">
        <v>1241</v>
      </c>
      <c r="E67" s="7" t="s">
        <v>527</v>
      </c>
      <c r="F67" s="7" t="s">
        <v>527</v>
      </c>
      <c r="G67" s="7" t="s">
        <v>528</v>
      </c>
      <c r="H67" s="7" t="s">
        <v>529</v>
      </c>
      <c r="I67" s="7">
        <v>72212900</v>
      </c>
      <c r="J67" s="7">
        <v>72314000</v>
      </c>
      <c r="K67" s="7" t="s">
        <v>1141</v>
      </c>
      <c r="L67" s="7" t="s">
        <v>530</v>
      </c>
      <c r="M67" s="7" t="s">
        <v>531</v>
      </c>
      <c r="N67" s="7" t="s">
        <v>532</v>
      </c>
      <c r="O67" s="7">
        <v>17.97</v>
      </c>
      <c r="P67" s="7">
        <v>24</v>
      </c>
      <c r="Q67" s="7">
        <v>0.50609999999999999</v>
      </c>
      <c r="R67" s="7">
        <v>0.51659999999999995</v>
      </c>
      <c r="S67" s="7">
        <v>0.2</v>
      </c>
      <c r="T67" s="7">
        <v>0.4975</v>
      </c>
      <c r="U67" s="7">
        <v>1.4500000000000001E-2</v>
      </c>
      <c r="V67" s="7">
        <v>6</v>
      </c>
      <c r="W67" s="7" t="b">
        <v>0</v>
      </c>
      <c r="X67" s="9" t="s">
        <v>533</v>
      </c>
      <c r="Y67" s="9" t="s">
        <v>534</v>
      </c>
      <c r="Z67" s="7"/>
      <c r="AA67" s="7"/>
      <c r="AC67" s="5" t="str">
        <f t="shared" si="2"/>
        <v/>
      </c>
      <c r="AD67" s="10"/>
    </row>
    <row r="68" spans="1:30" x14ac:dyDescent="0.3">
      <c r="A68" s="2" t="s">
        <v>535</v>
      </c>
      <c r="B68" s="2" t="s">
        <v>1242</v>
      </c>
      <c r="C68" s="2">
        <v>0</v>
      </c>
      <c r="D68" s="2"/>
      <c r="E68" s="2" t="s">
        <v>536</v>
      </c>
      <c r="F68" s="2"/>
      <c r="G68" s="2" t="s">
        <v>537</v>
      </c>
      <c r="H68" s="2"/>
      <c r="I68" s="2">
        <v>30</v>
      </c>
      <c r="J68" s="2"/>
      <c r="K68" s="2" t="s">
        <v>1243</v>
      </c>
      <c r="L68" s="2" t="s">
        <v>538</v>
      </c>
      <c r="M68" s="2" t="s">
        <v>539</v>
      </c>
      <c r="N68" s="2"/>
      <c r="O68" s="2">
        <v>80.12</v>
      </c>
      <c r="P68" s="2">
        <v>12</v>
      </c>
      <c r="Q68" s="2"/>
      <c r="R68" s="2"/>
      <c r="S68" s="2"/>
      <c r="T68" s="2"/>
      <c r="U68" s="2"/>
      <c r="V68" s="2">
        <v>0</v>
      </c>
      <c r="W68" s="2" t="b">
        <v>0</v>
      </c>
      <c r="X68" s="4" t="s">
        <v>540</v>
      </c>
      <c r="Y68" s="2"/>
      <c r="Z68" s="2" t="s">
        <v>541</v>
      </c>
      <c r="AA68" s="2" t="s">
        <v>542</v>
      </c>
      <c r="AC68" s="5" t="str">
        <f t="shared" si="2"/>
        <v/>
      </c>
      <c r="AD68" s="10"/>
    </row>
    <row r="69" spans="1:30" x14ac:dyDescent="0.3">
      <c r="A69" s="7" t="s">
        <v>543</v>
      </c>
      <c r="B69" s="7" t="s">
        <v>1244</v>
      </c>
      <c r="C69" s="7">
        <v>1</v>
      </c>
      <c r="D69" s="7" t="s">
        <v>1245</v>
      </c>
      <c r="E69" s="7" t="s">
        <v>443</v>
      </c>
      <c r="F69" s="7" t="s">
        <v>443</v>
      </c>
      <c r="G69" s="7" t="s">
        <v>544</v>
      </c>
      <c r="H69" s="7" t="s">
        <v>545</v>
      </c>
      <c r="I69" s="7">
        <v>72500000</v>
      </c>
      <c r="J69" s="7">
        <v>32400000</v>
      </c>
      <c r="K69" s="7" t="s">
        <v>1126</v>
      </c>
      <c r="L69" s="7" t="s">
        <v>546</v>
      </c>
      <c r="M69" s="7" t="s">
        <v>547</v>
      </c>
      <c r="N69" s="7" t="s">
        <v>548</v>
      </c>
      <c r="O69" s="7">
        <v>46.91</v>
      </c>
      <c r="P69" s="7">
        <v>48</v>
      </c>
      <c r="Q69" s="7">
        <v>0.51539999999999997</v>
      </c>
      <c r="R69" s="7">
        <v>0.45889999999999997</v>
      </c>
      <c r="S69" s="7">
        <v>0</v>
      </c>
      <c r="T69" s="7">
        <v>0.9093</v>
      </c>
      <c r="U69" s="7">
        <v>7.1499999999999994E-2</v>
      </c>
      <c r="V69" s="7">
        <v>2</v>
      </c>
      <c r="W69" s="7" t="b">
        <v>0</v>
      </c>
      <c r="X69" s="9" t="s">
        <v>549</v>
      </c>
      <c r="Y69" s="9" t="s">
        <v>550</v>
      </c>
      <c r="Z69" s="7"/>
      <c r="AA69" s="7"/>
      <c r="AC69" s="5" t="str">
        <f t="shared" si="2"/>
        <v/>
      </c>
      <c r="AD69" s="10"/>
    </row>
    <row r="70" spans="1:30" x14ac:dyDescent="0.3">
      <c r="A70" s="7" t="s">
        <v>551</v>
      </c>
      <c r="B70" s="7" t="s">
        <v>1246</v>
      </c>
      <c r="C70" s="7">
        <v>1</v>
      </c>
      <c r="D70" s="7" t="s">
        <v>1247</v>
      </c>
      <c r="E70" s="7" t="s">
        <v>490</v>
      </c>
      <c r="F70" s="7" t="s">
        <v>490</v>
      </c>
      <c r="G70" s="7" t="s">
        <v>492</v>
      </c>
      <c r="H70" s="7" t="s">
        <v>552</v>
      </c>
      <c r="I70" s="7">
        <v>72611000</v>
      </c>
      <c r="J70" s="7">
        <v>32412100</v>
      </c>
      <c r="K70" s="7" t="s">
        <v>1248</v>
      </c>
      <c r="L70" s="7" t="s">
        <v>553</v>
      </c>
      <c r="M70" s="7" t="s">
        <v>539</v>
      </c>
      <c r="N70" s="7" t="s">
        <v>554</v>
      </c>
      <c r="O70" s="7">
        <v>30.98</v>
      </c>
      <c r="P70" s="7">
        <v>24</v>
      </c>
      <c r="Q70" s="7">
        <v>0.37809999999999999</v>
      </c>
      <c r="R70" s="7">
        <v>0.36099999999999999</v>
      </c>
      <c r="S70" s="7">
        <v>0</v>
      </c>
      <c r="T70" s="7">
        <v>0.41839999999999999</v>
      </c>
      <c r="U70" s="7"/>
      <c r="V70" s="7">
        <v>1</v>
      </c>
      <c r="W70" s="7" t="b">
        <v>0</v>
      </c>
      <c r="X70" s="9" t="s">
        <v>555</v>
      </c>
      <c r="Y70" s="9" t="s">
        <v>556</v>
      </c>
      <c r="Z70" s="7"/>
      <c r="AA70" s="7"/>
      <c r="AC70" s="5" t="str">
        <f t="shared" si="2"/>
        <v/>
      </c>
      <c r="AD70" s="10"/>
    </row>
    <row r="71" spans="1:30" x14ac:dyDescent="0.3">
      <c r="A71" s="2" t="s">
        <v>557</v>
      </c>
      <c r="B71" s="2" t="s">
        <v>1249</v>
      </c>
      <c r="C71" s="2">
        <v>0</v>
      </c>
      <c r="D71" s="2"/>
      <c r="E71" s="2" t="s">
        <v>558</v>
      </c>
      <c r="F71" s="2"/>
      <c r="G71" s="2" t="s">
        <v>559</v>
      </c>
      <c r="H71" s="2"/>
      <c r="I71" s="2">
        <v>35</v>
      </c>
      <c r="J71" s="2"/>
      <c r="K71" s="2" t="s">
        <v>1129</v>
      </c>
      <c r="L71" s="2" t="s">
        <v>560</v>
      </c>
      <c r="M71" s="2" t="s">
        <v>561</v>
      </c>
      <c r="N71" s="2"/>
      <c r="O71" s="2">
        <v>108.94</v>
      </c>
      <c r="P71" s="2">
        <v>38</v>
      </c>
      <c r="Q71" s="2"/>
      <c r="R71" s="2"/>
      <c r="S71" s="2"/>
      <c r="T71" s="2"/>
      <c r="U71" s="2"/>
      <c r="V71" s="2">
        <v>0</v>
      </c>
      <c r="W71" s="2" t="b">
        <v>0</v>
      </c>
      <c r="X71" s="4" t="s">
        <v>562</v>
      </c>
      <c r="Y71" s="2"/>
      <c r="Z71" s="2" t="s">
        <v>563</v>
      </c>
      <c r="AA71" s="2" t="s">
        <v>564</v>
      </c>
      <c r="AC71" s="5" t="str">
        <f t="shared" si="2"/>
        <v/>
      </c>
      <c r="AD71" s="10"/>
    </row>
    <row r="72" spans="1:30" x14ac:dyDescent="0.3">
      <c r="A72" s="7" t="s">
        <v>565</v>
      </c>
      <c r="B72" s="7" t="s">
        <v>1250</v>
      </c>
      <c r="C72" s="7">
        <v>1</v>
      </c>
      <c r="D72" s="7" t="s">
        <v>1251</v>
      </c>
      <c r="E72" s="7" t="s">
        <v>32</v>
      </c>
      <c r="F72" s="7" t="s">
        <v>32</v>
      </c>
      <c r="G72" s="7" t="s">
        <v>566</v>
      </c>
      <c r="H72" s="7" t="s">
        <v>567</v>
      </c>
      <c r="I72" s="7">
        <v>48000000</v>
      </c>
      <c r="J72" s="7">
        <v>48000000</v>
      </c>
      <c r="K72" s="7" t="s">
        <v>1134</v>
      </c>
      <c r="L72" s="7" t="s">
        <v>568</v>
      </c>
      <c r="M72" s="7" t="s">
        <v>405</v>
      </c>
      <c r="N72" s="7" t="s">
        <v>569</v>
      </c>
      <c r="O72" s="7">
        <v>20.96</v>
      </c>
      <c r="P72" s="7">
        <v>24</v>
      </c>
      <c r="Q72" s="7">
        <v>0.56140000000000001</v>
      </c>
      <c r="R72" s="7">
        <v>0.53010000000000002</v>
      </c>
      <c r="S72" s="7">
        <v>0.2</v>
      </c>
      <c r="T72" s="7">
        <v>0.74660000000000004</v>
      </c>
      <c r="U72" s="7">
        <v>9.4000000000000004E-3</v>
      </c>
      <c r="V72" s="7">
        <v>15</v>
      </c>
      <c r="W72" s="7" t="b">
        <v>0</v>
      </c>
      <c r="X72" s="9" t="s">
        <v>570</v>
      </c>
      <c r="Y72" s="9" t="s">
        <v>571</v>
      </c>
      <c r="Z72" s="7"/>
      <c r="AA72" s="7"/>
      <c r="AC72" s="5" t="str">
        <f t="shared" si="2"/>
        <v/>
      </c>
      <c r="AD72" s="10"/>
    </row>
    <row r="73" spans="1:30" x14ac:dyDescent="0.3">
      <c r="A73" s="7" t="s">
        <v>572</v>
      </c>
      <c r="B73" s="7" t="s">
        <v>1252</v>
      </c>
      <c r="C73" s="7">
        <v>1</v>
      </c>
      <c r="D73" s="7" t="s">
        <v>1253</v>
      </c>
      <c r="E73" s="7" t="s">
        <v>573</v>
      </c>
      <c r="F73" s="7" t="s">
        <v>573</v>
      </c>
      <c r="G73" s="7" t="s">
        <v>574</v>
      </c>
      <c r="H73" s="7" t="s">
        <v>575</v>
      </c>
      <c r="I73" s="7">
        <v>32321300</v>
      </c>
      <c r="J73" s="7">
        <v>32321300</v>
      </c>
      <c r="K73" s="7" t="s">
        <v>1138</v>
      </c>
      <c r="L73" s="7" t="s">
        <v>576</v>
      </c>
      <c r="M73" s="7" t="s">
        <v>577</v>
      </c>
      <c r="N73" s="7" t="s">
        <v>578</v>
      </c>
      <c r="O73" s="7">
        <v>41.33</v>
      </c>
      <c r="P73" s="7">
        <v>48</v>
      </c>
      <c r="Q73" s="7">
        <v>0.88729999999999998</v>
      </c>
      <c r="R73" s="7">
        <v>0.99639999999999995</v>
      </c>
      <c r="S73" s="7">
        <v>1</v>
      </c>
      <c r="T73" s="7">
        <v>0.44390000000000002</v>
      </c>
      <c r="U73" s="7">
        <v>4.7000000000000002E-3</v>
      </c>
      <c r="V73" s="7">
        <v>2</v>
      </c>
      <c r="W73" s="7" t="b">
        <v>0</v>
      </c>
      <c r="X73" s="9" t="s">
        <v>579</v>
      </c>
      <c r="Y73" s="9" t="s">
        <v>580</v>
      </c>
      <c r="Z73" s="7"/>
      <c r="AA73" s="7"/>
      <c r="AC73" s="5" t="str">
        <f t="shared" si="2"/>
        <v/>
      </c>
      <c r="AD73" s="10"/>
    </row>
    <row r="74" spans="1:30" x14ac:dyDescent="0.3">
      <c r="A74" s="7" t="s">
        <v>581</v>
      </c>
      <c r="B74" s="7" t="s">
        <v>1192</v>
      </c>
      <c r="C74" s="7">
        <v>1</v>
      </c>
      <c r="D74" s="7" t="s">
        <v>1254</v>
      </c>
      <c r="E74" s="7" t="s">
        <v>301</v>
      </c>
      <c r="F74" s="7" t="s">
        <v>301</v>
      </c>
      <c r="G74" s="7" t="s">
        <v>303</v>
      </c>
      <c r="H74" s="7" t="s">
        <v>582</v>
      </c>
      <c r="I74" s="7"/>
      <c r="J74" s="7">
        <v>32420000</v>
      </c>
      <c r="K74" s="7" t="s">
        <v>1144</v>
      </c>
      <c r="L74" s="7" t="s">
        <v>306</v>
      </c>
      <c r="M74" s="7" t="s">
        <v>583</v>
      </c>
      <c r="N74" s="7" t="s">
        <v>584</v>
      </c>
      <c r="O74" s="7">
        <v>46.19</v>
      </c>
      <c r="P74" s="7">
        <v>48</v>
      </c>
      <c r="Q74" s="7">
        <v>0.57650000000000001</v>
      </c>
      <c r="R74" s="7">
        <v>0.28139999999999998</v>
      </c>
      <c r="S74" s="7"/>
      <c r="T74" s="7">
        <v>0.84909999999999997</v>
      </c>
      <c r="U74" s="7"/>
      <c r="V74" s="7">
        <v>1</v>
      </c>
      <c r="W74" s="7" t="b">
        <v>0</v>
      </c>
      <c r="X74" s="9" t="s">
        <v>308</v>
      </c>
      <c r="Y74" s="9" t="s">
        <v>585</v>
      </c>
      <c r="Z74" s="7"/>
      <c r="AA74" s="7"/>
      <c r="AC74" s="5" t="str">
        <f t="shared" si="2"/>
        <v/>
      </c>
      <c r="AD74" s="10"/>
    </row>
    <row r="75" spans="1:30" x14ac:dyDescent="0.3">
      <c r="A75" s="2" t="s">
        <v>586</v>
      </c>
      <c r="B75" s="2" t="s">
        <v>1255</v>
      </c>
      <c r="C75" s="2">
        <v>0</v>
      </c>
      <c r="D75" s="2"/>
      <c r="E75" s="2" t="s">
        <v>587</v>
      </c>
      <c r="F75" s="2"/>
      <c r="G75" s="2" t="s">
        <v>588</v>
      </c>
      <c r="H75" s="2"/>
      <c r="I75" s="2">
        <v>35</v>
      </c>
      <c r="J75" s="2"/>
      <c r="K75" s="2" t="s">
        <v>1129</v>
      </c>
      <c r="L75" s="2" t="s">
        <v>589</v>
      </c>
      <c r="M75" s="2" t="s">
        <v>590</v>
      </c>
      <c r="N75" s="2"/>
      <c r="O75" s="2">
        <v>79.400000000000006</v>
      </c>
      <c r="P75" s="2">
        <v>48</v>
      </c>
      <c r="Q75" s="2"/>
      <c r="R75" s="2"/>
      <c r="S75" s="2"/>
      <c r="T75" s="2"/>
      <c r="U75" s="2"/>
      <c r="V75" s="2">
        <v>0</v>
      </c>
      <c r="W75" s="2" t="b">
        <v>0</v>
      </c>
      <c r="X75" s="4" t="s">
        <v>591</v>
      </c>
      <c r="Y75" s="2"/>
      <c r="Z75" s="2"/>
      <c r="AA75" s="2"/>
      <c r="AC75" s="5" t="str">
        <f t="shared" si="2"/>
        <v/>
      </c>
      <c r="AD75" s="10"/>
    </row>
    <row r="76" spans="1:30" x14ac:dyDescent="0.3">
      <c r="A76" s="2" t="s">
        <v>592</v>
      </c>
      <c r="B76" s="2" t="s">
        <v>1256</v>
      </c>
      <c r="C76" s="2">
        <v>0</v>
      </c>
      <c r="D76" s="2"/>
      <c r="E76" s="2" t="s">
        <v>593</v>
      </c>
      <c r="F76" s="2"/>
      <c r="G76" s="2" t="s">
        <v>594</v>
      </c>
      <c r="H76" s="2"/>
      <c r="I76" s="2">
        <v>48</v>
      </c>
      <c r="J76" s="2"/>
      <c r="K76" s="2" t="s">
        <v>1134</v>
      </c>
      <c r="L76" s="2" t="s">
        <v>595</v>
      </c>
      <c r="M76" s="2" t="s">
        <v>596</v>
      </c>
      <c r="N76" s="2"/>
      <c r="O76" s="2">
        <v>106.18</v>
      </c>
      <c r="P76" s="2">
        <v>48</v>
      </c>
      <c r="Q76" s="2"/>
      <c r="R76" s="2"/>
      <c r="S76" s="2"/>
      <c r="T76" s="2"/>
      <c r="U76" s="2"/>
      <c r="V76" s="2">
        <v>0</v>
      </c>
      <c r="W76" s="2" t="b">
        <v>0</v>
      </c>
      <c r="X76" s="4" t="s">
        <v>597</v>
      </c>
      <c r="Y76" s="2"/>
      <c r="Z76" s="2"/>
      <c r="AA76" s="2"/>
      <c r="AC76" s="5" t="str">
        <f t="shared" si="2"/>
        <v/>
      </c>
      <c r="AD76" s="10"/>
    </row>
    <row r="77" spans="1:30" x14ac:dyDescent="0.3">
      <c r="A77" s="2" t="s">
        <v>598</v>
      </c>
      <c r="B77" s="2" t="s">
        <v>1257</v>
      </c>
      <c r="C77" s="2">
        <v>0</v>
      </c>
      <c r="D77" s="2"/>
      <c r="E77" s="2" t="s">
        <v>599</v>
      </c>
      <c r="F77" s="2"/>
      <c r="G77" s="2" t="s">
        <v>600</v>
      </c>
      <c r="H77" s="2"/>
      <c r="I77" s="2">
        <v>34</v>
      </c>
      <c r="J77" s="2"/>
      <c r="K77" s="2" t="s">
        <v>1129</v>
      </c>
      <c r="L77" s="2" t="s">
        <v>601</v>
      </c>
      <c r="M77" s="2" t="s">
        <v>602</v>
      </c>
      <c r="N77" s="2"/>
      <c r="O77" s="2">
        <v>46.62</v>
      </c>
      <c r="P77" s="2">
        <v>3</v>
      </c>
      <c r="Q77" s="2"/>
      <c r="R77" s="2"/>
      <c r="S77" s="2"/>
      <c r="T77" s="2"/>
      <c r="U77" s="2"/>
      <c r="V77" s="2">
        <v>0</v>
      </c>
      <c r="W77" s="2" t="b">
        <v>0</v>
      </c>
      <c r="X77" s="4" t="s">
        <v>603</v>
      </c>
      <c r="Y77" s="2"/>
      <c r="Z77" s="2"/>
      <c r="AA77" s="2"/>
      <c r="AC77" s="5" t="str">
        <f t="shared" si="2"/>
        <v/>
      </c>
      <c r="AD77" s="10"/>
    </row>
    <row r="78" spans="1:30" x14ac:dyDescent="0.3">
      <c r="A78" s="7" t="s">
        <v>604</v>
      </c>
      <c r="B78" s="7" t="s">
        <v>1258</v>
      </c>
      <c r="C78" s="7">
        <v>1</v>
      </c>
      <c r="D78" s="7" t="s">
        <v>1259</v>
      </c>
      <c r="E78" s="7" t="s">
        <v>261</v>
      </c>
      <c r="F78" s="7" t="s">
        <v>261</v>
      </c>
      <c r="G78" s="7" t="s">
        <v>605</v>
      </c>
      <c r="H78" s="7" t="s">
        <v>606</v>
      </c>
      <c r="I78" s="7">
        <v>72212900</v>
      </c>
      <c r="J78" s="7">
        <v>72224000</v>
      </c>
      <c r="K78" s="7" t="s">
        <v>1141</v>
      </c>
      <c r="L78" s="7" t="s">
        <v>607</v>
      </c>
      <c r="M78" s="7" t="s">
        <v>608</v>
      </c>
      <c r="N78" s="7" t="s">
        <v>609</v>
      </c>
      <c r="O78" s="7">
        <v>14.72</v>
      </c>
      <c r="P78" s="7">
        <v>12</v>
      </c>
      <c r="Q78" s="7">
        <v>0.64129999999999998</v>
      </c>
      <c r="R78" s="7">
        <v>0.59150000000000003</v>
      </c>
      <c r="S78" s="7">
        <v>0.4</v>
      </c>
      <c r="T78" s="7">
        <v>0.77349999999999997</v>
      </c>
      <c r="U78" s="7">
        <v>1.44E-2</v>
      </c>
      <c r="V78" s="7">
        <v>3</v>
      </c>
      <c r="W78" s="7" t="b">
        <v>0</v>
      </c>
      <c r="X78" s="9" t="s">
        <v>610</v>
      </c>
      <c r="Y78" s="9" t="s">
        <v>611</v>
      </c>
      <c r="Z78" s="7"/>
      <c r="AA78" s="7"/>
      <c r="AC78" s="5" t="str">
        <f t="shared" si="2"/>
        <v/>
      </c>
      <c r="AD78" s="10"/>
    </row>
    <row r="79" spans="1:30" x14ac:dyDescent="0.3">
      <c r="A79" s="7" t="s">
        <v>612</v>
      </c>
      <c r="B79" s="7" t="s">
        <v>1260</v>
      </c>
      <c r="C79" s="7">
        <v>1</v>
      </c>
      <c r="D79" s="7" t="s">
        <v>1261</v>
      </c>
      <c r="E79" s="7" t="s">
        <v>613</v>
      </c>
      <c r="F79" s="7" t="s">
        <v>613</v>
      </c>
      <c r="G79" s="7" t="s">
        <v>614</v>
      </c>
      <c r="H79" s="7" t="s">
        <v>615</v>
      </c>
      <c r="I79" s="7">
        <v>35111200</v>
      </c>
      <c r="J79" s="7">
        <v>35110000</v>
      </c>
      <c r="K79" s="7" t="s">
        <v>1129</v>
      </c>
      <c r="L79" s="7" t="s">
        <v>616</v>
      </c>
      <c r="M79" s="7" t="s">
        <v>617</v>
      </c>
      <c r="N79" s="7" t="s">
        <v>618</v>
      </c>
      <c r="O79" s="7">
        <v>34.86</v>
      </c>
      <c r="P79" s="7">
        <v>24</v>
      </c>
      <c r="Q79" s="7">
        <v>0.64070000000000005</v>
      </c>
      <c r="R79" s="7">
        <v>0.80410000000000004</v>
      </c>
      <c r="S79" s="7">
        <v>0.6</v>
      </c>
      <c r="T79" s="7">
        <v>9.5399999999999999E-2</v>
      </c>
      <c r="U79" s="7"/>
      <c r="V79" s="7">
        <v>1</v>
      </c>
      <c r="W79" s="7" t="b">
        <v>0</v>
      </c>
      <c r="X79" s="9" t="s">
        <v>619</v>
      </c>
      <c r="Y79" s="9" t="s">
        <v>620</v>
      </c>
      <c r="Z79" s="7"/>
      <c r="AA79" s="7"/>
      <c r="AC79" s="5" t="str">
        <f t="shared" si="2"/>
        <v/>
      </c>
      <c r="AD79" s="10"/>
    </row>
    <row r="80" spans="1:30" x14ac:dyDescent="0.3">
      <c r="A80" s="7" t="s">
        <v>621</v>
      </c>
      <c r="B80" s="7" t="s">
        <v>1262</v>
      </c>
      <c r="C80" s="7">
        <v>1</v>
      </c>
      <c r="D80" s="7" t="s">
        <v>1200</v>
      </c>
      <c r="E80" s="7" t="s">
        <v>334</v>
      </c>
      <c r="F80" s="7" t="s">
        <v>334</v>
      </c>
      <c r="G80" s="7" t="s">
        <v>622</v>
      </c>
      <c r="H80" s="7" t="s">
        <v>336</v>
      </c>
      <c r="I80" s="7">
        <v>72611000</v>
      </c>
      <c r="J80" s="7">
        <v>72611000</v>
      </c>
      <c r="K80" s="7" t="s">
        <v>1248</v>
      </c>
      <c r="L80" s="7" t="s">
        <v>452</v>
      </c>
      <c r="M80" s="7" t="s">
        <v>623</v>
      </c>
      <c r="N80" s="7" t="s">
        <v>339</v>
      </c>
      <c r="O80" s="7">
        <v>19.05</v>
      </c>
      <c r="P80" s="7">
        <v>12</v>
      </c>
      <c r="Q80" s="7">
        <v>0.75009999999999999</v>
      </c>
      <c r="R80" s="7">
        <v>0.66910000000000003</v>
      </c>
      <c r="S80" s="7">
        <v>1</v>
      </c>
      <c r="T80" s="7">
        <v>0.41220000000000001</v>
      </c>
      <c r="U80" s="7">
        <v>0.24759999999999999</v>
      </c>
      <c r="V80" s="7">
        <v>6</v>
      </c>
      <c r="W80" s="7" t="b">
        <v>1</v>
      </c>
      <c r="X80" s="9" t="s">
        <v>624</v>
      </c>
      <c r="Y80" s="9" t="s">
        <v>341</v>
      </c>
      <c r="Z80" s="7"/>
      <c r="AA80" s="7"/>
      <c r="AC80" s="5" t="str">
        <f t="shared" si="2"/>
        <v/>
      </c>
      <c r="AD80" s="10"/>
    </row>
    <row r="81" spans="1:30" x14ac:dyDescent="0.3">
      <c r="A81" s="2" t="s">
        <v>625</v>
      </c>
      <c r="B81" s="2" t="s">
        <v>1263</v>
      </c>
      <c r="C81" s="2">
        <v>0</v>
      </c>
      <c r="D81" s="2"/>
      <c r="E81" s="2" t="s">
        <v>626</v>
      </c>
      <c r="F81" s="2"/>
      <c r="G81" s="2" t="s">
        <v>627</v>
      </c>
      <c r="H81" s="2"/>
      <c r="I81" s="2">
        <v>79</v>
      </c>
      <c r="J81" s="2"/>
      <c r="K81" s="2" t="s">
        <v>1144</v>
      </c>
      <c r="L81" s="2" t="s">
        <v>67</v>
      </c>
      <c r="M81" s="2" t="s">
        <v>628</v>
      </c>
      <c r="N81" s="2"/>
      <c r="O81" s="2">
        <v>53.81</v>
      </c>
      <c r="P81" s="2">
        <v>6</v>
      </c>
      <c r="Q81" s="2"/>
      <c r="R81" s="2"/>
      <c r="S81" s="2"/>
      <c r="T81" s="2"/>
      <c r="U81" s="2"/>
      <c r="V81" s="2">
        <v>0</v>
      </c>
      <c r="W81" s="2" t="b">
        <v>0</v>
      </c>
      <c r="X81" s="4" t="s">
        <v>629</v>
      </c>
      <c r="Y81" s="2"/>
      <c r="Z81" s="2"/>
      <c r="AA81" s="2"/>
      <c r="AC81" s="5" t="str">
        <f t="shared" si="2"/>
        <v/>
      </c>
      <c r="AD81" s="10"/>
    </row>
    <row r="82" spans="1:30" x14ac:dyDescent="0.3">
      <c r="A82" s="7" t="s">
        <v>630</v>
      </c>
      <c r="B82" s="7" t="s">
        <v>1264</v>
      </c>
      <c r="C82" s="7">
        <v>1</v>
      </c>
      <c r="D82" s="7" t="s">
        <v>1265</v>
      </c>
      <c r="E82" s="7" t="s">
        <v>631</v>
      </c>
      <c r="F82" s="7" t="s">
        <v>631</v>
      </c>
      <c r="G82" s="7" t="s">
        <v>632</v>
      </c>
      <c r="H82" s="7" t="s">
        <v>633</v>
      </c>
      <c r="I82" s="7">
        <v>48000000</v>
      </c>
      <c r="J82" s="7">
        <v>72500000</v>
      </c>
      <c r="K82" s="7" t="s">
        <v>1134</v>
      </c>
      <c r="L82" s="7" t="s">
        <v>634</v>
      </c>
      <c r="M82" s="7" t="s">
        <v>635</v>
      </c>
      <c r="N82" s="7" t="s">
        <v>636</v>
      </c>
      <c r="O82" s="7">
        <v>38.799999999999997</v>
      </c>
      <c r="P82" s="7">
        <v>36</v>
      </c>
      <c r="Q82" s="7">
        <v>0.43669999999999998</v>
      </c>
      <c r="R82" s="7">
        <v>0.3332</v>
      </c>
      <c r="S82" s="7">
        <v>0</v>
      </c>
      <c r="T82" s="7">
        <v>0.76690000000000003</v>
      </c>
      <c r="U82" s="7">
        <v>2.5000000000000001E-2</v>
      </c>
      <c r="V82" s="7">
        <v>3</v>
      </c>
      <c r="W82" s="7" t="b">
        <v>0</v>
      </c>
      <c r="X82" s="9" t="s">
        <v>637</v>
      </c>
      <c r="Y82" s="9" t="s">
        <v>638</v>
      </c>
      <c r="Z82" s="7"/>
      <c r="AA82" s="7"/>
      <c r="AC82" s="5" t="str">
        <f t="shared" si="2"/>
        <v/>
      </c>
      <c r="AD82" s="10"/>
    </row>
    <row r="83" spans="1:30" x14ac:dyDescent="0.3">
      <c r="A83" s="7" t="s">
        <v>639</v>
      </c>
      <c r="B83" s="7" t="s">
        <v>1230</v>
      </c>
      <c r="C83" s="7">
        <v>1</v>
      </c>
      <c r="D83" s="7" t="s">
        <v>1266</v>
      </c>
      <c r="E83" s="7" t="s">
        <v>473</v>
      </c>
      <c r="F83" s="7" t="s">
        <v>473</v>
      </c>
      <c r="G83" s="7" t="s">
        <v>475</v>
      </c>
      <c r="H83" s="7" t="s">
        <v>640</v>
      </c>
      <c r="I83" s="7">
        <v>31625100</v>
      </c>
      <c r="J83" s="7">
        <v>79995100</v>
      </c>
      <c r="K83" s="7" t="s">
        <v>1144</v>
      </c>
      <c r="L83" s="7" t="s">
        <v>478</v>
      </c>
      <c r="M83" s="7" t="s">
        <v>641</v>
      </c>
      <c r="N83" s="7" t="s">
        <v>642</v>
      </c>
      <c r="O83" s="7">
        <v>32.950000000000003</v>
      </c>
      <c r="P83" s="7">
        <v>24</v>
      </c>
      <c r="Q83" s="7">
        <v>0.374</v>
      </c>
      <c r="R83" s="7">
        <v>0.43280000000000002</v>
      </c>
      <c r="S83" s="7">
        <v>0</v>
      </c>
      <c r="T83" s="7">
        <v>0.25419999999999998</v>
      </c>
      <c r="U83" s="7"/>
      <c r="V83" s="7">
        <v>1</v>
      </c>
      <c r="W83" s="7" t="b">
        <v>0</v>
      </c>
      <c r="X83" s="9" t="s">
        <v>480</v>
      </c>
      <c r="Y83" s="9" t="s">
        <v>643</v>
      </c>
      <c r="Z83" s="7"/>
      <c r="AA83" s="7"/>
      <c r="AC83" s="5" t="str">
        <f t="shared" si="2"/>
        <v/>
      </c>
      <c r="AD83" s="10"/>
    </row>
    <row r="84" spans="1:30" x14ac:dyDescent="0.3">
      <c r="A84" s="7" t="s">
        <v>644</v>
      </c>
      <c r="B84" s="7" t="s">
        <v>1267</v>
      </c>
      <c r="C84" s="7">
        <v>1</v>
      </c>
      <c r="D84" s="7" t="s">
        <v>1268</v>
      </c>
      <c r="E84" s="7" t="s">
        <v>169</v>
      </c>
      <c r="F84" s="7" t="s">
        <v>170</v>
      </c>
      <c r="G84" s="7" t="s">
        <v>645</v>
      </c>
      <c r="H84" s="7" t="s">
        <v>646</v>
      </c>
      <c r="I84" s="7">
        <v>72000000</v>
      </c>
      <c r="J84" s="7">
        <v>72510000</v>
      </c>
      <c r="K84" s="7" t="s">
        <v>1126</v>
      </c>
      <c r="L84" s="7" t="s">
        <v>647</v>
      </c>
      <c r="M84" s="7" t="s">
        <v>648</v>
      </c>
      <c r="N84" s="7" t="s">
        <v>649</v>
      </c>
      <c r="O84" s="7">
        <v>52.89</v>
      </c>
      <c r="P84" s="7">
        <v>48</v>
      </c>
      <c r="Q84" s="7">
        <v>0.47989999999999999</v>
      </c>
      <c r="R84" s="7">
        <v>0.40360000000000001</v>
      </c>
      <c r="S84" s="7">
        <v>0.2</v>
      </c>
      <c r="T84" s="7">
        <v>0.59240000000000004</v>
      </c>
      <c r="U84" s="7">
        <v>3.8699999999999998E-2</v>
      </c>
      <c r="V84" s="7">
        <v>5</v>
      </c>
      <c r="W84" s="7" t="b">
        <v>0</v>
      </c>
      <c r="X84" s="9" t="s">
        <v>650</v>
      </c>
      <c r="Y84" s="9" t="s">
        <v>651</v>
      </c>
      <c r="Z84" s="7"/>
      <c r="AA84" s="7"/>
      <c r="AC84" s="5" t="str">
        <f t="shared" si="2"/>
        <v/>
      </c>
      <c r="AD84" s="10"/>
    </row>
    <row r="85" spans="1:30" x14ac:dyDescent="0.3">
      <c r="A85" s="2" t="s">
        <v>652</v>
      </c>
      <c r="B85" s="2" t="s">
        <v>1269</v>
      </c>
      <c r="C85" s="2">
        <v>0</v>
      </c>
      <c r="D85" s="2"/>
      <c r="E85" s="2" t="s">
        <v>653</v>
      </c>
      <c r="F85" s="2"/>
      <c r="G85" s="2" t="s">
        <v>654</v>
      </c>
      <c r="H85" s="2"/>
      <c r="I85" s="2">
        <v>32</v>
      </c>
      <c r="J85" s="2"/>
      <c r="K85" s="2" t="s">
        <v>1138</v>
      </c>
      <c r="L85" s="2" t="s">
        <v>655</v>
      </c>
      <c r="M85" s="2" t="s">
        <v>656</v>
      </c>
      <c r="N85" s="2"/>
      <c r="O85" s="2">
        <v>69.19</v>
      </c>
      <c r="P85" s="2">
        <v>24</v>
      </c>
      <c r="Q85" s="2"/>
      <c r="R85" s="2"/>
      <c r="S85" s="2"/>
      <c r="T85" s="2"/>
      <c r="U85" s="2"/>
      <c r="V85" s="2">
        <v>0</v>
      </c>
      <c r="W85" s="2" t="b">
        <v>0</v>
      </c>
      <c r="X85" s="4" t="s">
        <v>657</v>
      </c>
      <c r="Y85" s="2"/>
      <c r="Z85" s="2"/>
      <c r="AA85" s="2"/>
      <c r="AC85" s="5" t="str">
        <f t="shared" si="2"/>
        <v/>
      </c>
      <c r="AD85" s="10"/>
    </row>
    <row r="86" spans="1:30" x14ac:dyDescent="0.3">
      <c r="A86" s="2" t="s">
        <v>658</v>
      </c>
      <c r="B86" s="2" t="s">
        <v>1270</v>
      </c>
      <c r="C86" s="2">
        <v>0</v>
      </c>
      <c r="D86" s="2"/>
      <c r="E86" s="2" t="s">
        <v>659</v>
      </c>
      <c r="F86" s="2"/>
      <c r="G86" s="2" t="s">
        <v>660</v>
      </c>
      <c r="H86" s="2"/>
      <c r="I86" s="2"/>
      <c r="J86" s="2"/>
      <c r="K86" s="2" t="s">
        <v>1138</v>
      </c>
      <c r="L86" s="2" t="s">
        <v>661</v>
      </c>
      <c r="M86" s="2" t="s">
        <v>662</v>
      </c>
      <c r="N86" s="2"/>
      <c r="O86" s="2">
        <v>114.75</v>
      </c>
      <c r="P86" s="2">
        <v>48</v>
      </c>
      <c r="Q86" s="2"/>
      <c r="R86" s="2"/>
      <c r="S86" s="2"/>
      <c r="T86" s="2"/>
      <c r="U86" s="2"/>
      <c r="V86" s="2">
        <v>0</v>
      </c>
      <c r="W86" s="2" t="b">
        <v>0</v>
      </c>
      <c r="X86" s="4" t="s">
        <v>663</v>
      </c>
      <c r="Y86" s="2"/>
      <c r="Z86" s="2"/>
      <c r="AA86" s="2"/>
      <c r="AC86" s="5" t="str">
        <f t="shared" si="2"/>
        <v/>
      </c>
      <c r="AD86" s="10"/>
    </row>
    <row r="87" spans="1:30" x14ac:dyDescent="0.3">
      <c r="A87" s="7" t="s">
        <v>664</v>
      </c>
      <c r="B87" s="7" t="s">
        <v>1271</v>
      </c>
      <c r="C87" s="7">
        <v>1</v>
      </c>
      <c r="D87" s="7" t="s">
        <v>1221</v>
      </c>
      <c r="E87" s="7" t="s">
        <v>41</v>
      </c>
      <c r="F87" s="7" t="s">
        <v>41</v>
      </c>
      <c r="G87" s="7" t="s">
        <v>665</v>
      </c>
      <c r="H87" s="7" t="s">
        <v>438</v>
      </c>
      <c r="I87" s="7">
        <v>72267000</v>
      </c>
      <c r="J87" s="7">
        <v>72267000</v>
      </c>
      <c r="K87" s="7" t="s">
        <v>1126</v>
      </c>
      <c r="L87" s="7" t="s">
        <v>666</v>
      </c>
      <c r="M87" s="7" t="s">
        <v>667</v>
      </c>
      <c r="N87" s="7" t="s">
        <v>439</v>
      </c>
      <c r="O87" s="7">
        <v>39.29</v>
      </c>
      <c r="P87" s="7">
        <v>48</v>
      </c>
      <c r="Q87" s="7">
        <v>0.58930000000000005</v>
      </c>
      <c r="R87" s="7">
        <v>0.33629999999999999</v>
      </c>
      <c r="S87" s="7">
        <v>1</v>
      </c>
      <c r="T87" s="7">
        <v>0.2742</v>
      </c>
      <c r="U87" s="7">
        <v>1.1000000000000001E-3</v>
      </c>
      <c r="V87" s="7">
        <v>6</v>
      </c>
      <c r="W87" s="7" t="b">
        <v>0</v>
      </c>
      <c r="X87" s="9" t="s">
        <v>668</v>
      </c>
      <c r="Y87" s="9" t="s">
        <v>441</v>
      </c>
      <c r="Z87" s="7"/>
      <c r="AA87" s="7"/>
      <c r="AC87" s="5" t="str">
        <f t="shared" si="2"/>
        <v/>
      </c>
      <c r="AD87" s="10"/>
    </row>
    <row r="88" spans="1:30" x14ac:dyDescent="0.3">
      <c r="A88" s="7" t="s">
        <v>669</v>
      </c>
      <c r="B88" s="7" t="s">
        <v>1272</v>
      </c>
      <c r="C88" s="7">
        <v>1</v>
      </c>
      <c r="D88" s="7" t="s">
        <v>1273</v>
      </c>
      <c r="E88" s="7" t="s">
        <v>32</v>
      </c>
      <c r="F88" s="7" t="s">
        <v>32</v>
      </c>
      <c r="G88" s="7" t="s">
        <v>670</v>
      </c>
      <c r="H88" s="7" t="s">
        <v>671</v>
      </c>
      <c r="I88" s="7">
        <v>48900000</v>
      </c>
      <c r="J88" s="7">
        <v>48810000</v>
      </c>
      <c r="K88" s="7" t="s">
        <v>1134</v>
      </c>
      <c r="L88" s="7" t="s">
        <v>672</v>
      </c>
      <c r="M88" s="7" t="s">
        <v>673</v>
      </c>
      <c r="N88" s="7" t="s">
        <v>674</v>
      </c>
      <c r="O88" s="7">
        <v>36.14</v>
      </c>
      <c r="P88" s="7">
        <v>36</v>
      </c>
      <c r="Q88" s="7">
        <v>0.60019999999999996</v>
      </c>
      <c r="R88" s="7">
        <v>0.50629999999999997</v>
      </c>
      <c r="S88" s="7">
        <v>0.2</v>
      </c>
      <c r="T88" s="7">
        <v>0.98860000000000003</v>
      </c>
      <c r="U88" s="7">
        <v>5.0700000000000002E-2</v>
      </c>
      <c r="V88" s="7">
        <v>20</v>
      </c>
      <c r="W88" s="7" t="b">
        <v>0</v>
      </c>
      <c r="X88" s="9" t="s">
        <v>675</v>
      </c>
      <c r="Y88" s="9" t="s">
        <v>676</v>
      </c>
      <c r="Z88" s="7"/>
      <c r="AA88" s="7"/>
      <c r="AC88" s="5" t="str">
        <f t="shared" si="2"/>
        <v/>
      </c>
      <c r="AD88" s="10"/>
    </row>
    <row r="89" spans="1:30" x14ac:dyDescent="0.3">
      <c r="A89" s="7" t="s">
        <v>677</v>
      </c>
      <c r="B89" s="7" t="s">
        <v>1274</v>
      </c>
      <c r="C89" s="7">
        <v>1</v>
      </c>
      <c r="D89" s="7" t="s">
        <v>1275</v>
      </c>
      <c r="E89" s="7" t="s">
        <v>41</v>
      </c>
      <c r="F89" s="7" t="s">
        <v>41</v>
      </c>
      <c r="G89" s="7" t="s">
        <v>678</v>
      </c>
      <c r="H89" s="7" t="s">
        <v>679</v>
      </c>
      <c r="I89" s="7">
        <v>48450000</v>
      </c>
      <c r="J89" s="7">
        <v>48450000</v>
      </c>
      <c r="K89" s="7" t="s">
        <v>1134</v>
      </c>
      <c r="L89" s="7" t="s">
        <v>680</v>
      </c>
      <c r="M89" s="7" t="s">
        <v>477</v>
      </c>
      <c r="N89" s="7" t="s">
        <v>681</v>
      </c>
      <c r="O89" s="7">
        <v>44.91</v>
      </c>
      <c r="P89" s="7">
        <v>48</v>
      </c>
      <c r="Q89" s="7">
        <v>0.75060000000000004</v>
      </c>
      <c r="R89" s="7">
        <v>0.50539999999999996</v>
      </c>
      <c r="S89" s="7">
        <v>1</v>
      </c>
      <c r="T89" s="7">
        <v>0.74229999999999996</v>
      </c>
      <c r="U89" s="7">
        <v>0.24160000000000001</v>
      </c>
      <c r="V89" s="7">
        <v>7</v>
      </c>
      <c r="W89" s="7" t="b">
        <v>1</v>
      </c>
      <c r="X89" s="9" t="s">
        <v>682</v>
      </c>
      <c r="Y89" s="9" t="s">
        <v>683</v>
      </c>
      <c r="Z89" s="7"/>
      <c r="AA89" s="7"/>
      <c r="AC89" s="5" t="str">
        <f t="shared" si="2"/>
        <v/>
      </c>
      <c r="AD89" s="10"/>
    </row>
    <row r="90" spans="1:30" x14ac:dyDescent="0.3">
      <c r="A90" s="7" t="s">
        <v>684</v>
      </c>
      <c r="B90" s="7" t="s">
        <v>1276</v>
      </c>
      <c r="C90" s="7">
        <v>1</v>
      </c>
      <c r="D90" s="7" t="s">
        <v>1277</v>
      </c>
      <c r="E90" s="7" t="s">
        <v>631</v>
      </c>
      <c r="F90" s="7" t="s">
        <v>631</v>
      </c>
      <c r="G90" s="7" t="s">
        <v>685</v>
      </c>
      <c r="H90" s="7" t="s">
        <v>686</v>
      </c>
      <c r="I90" s="7">
        <v>72150000</v>
      </c>
      <c r="J90" s="7">
        <v>72500000</v>
      </c>
      <c r="K90" s="7" t="s">
        <v>1126</v>
      </c>
      <c r="L90" s="7" t="s">
        <v>687</v>
      </c>
      <c r="M90" s="7" t="s">
        <v>688</v>
      </c>
      <c r="N90" s="7" t="s">
        <v>590</v>
      </c>
      <c r="O90" s="7">
        <v>18.73</v>
      </c>
      <c r="P90" s="7">
        <v>12</v>
      </c>
      <c r="Q90" s="7">
        <v>0.45269999999999999</v>
      </c>
      <c r="R90" s="7">
        <v>0.41199999999999998</v>
      </c>
      <c r="S90" s="7">
        <v>0.2</v>
      </c>
      <c r="T90" s="7">
        <v>0.43959999999999999</v>
      </c>
      <c r="U90" s="7"/>
      <c r="V90" s="7">
        <v>1</v>
      </c>
      <c r="W90" s="7" t="b">
        <v>0</v>
      </c>
      <c r="X90" s="9" t="s">
        <v>689</v>
      </c>
      <c r="Y90" s="9" t="s">
        <v>690</v>
      </c>
      <c r="Z90" s="7"/>
      <c r="AA90" s="7"/>
      <c r="AC90" s="5" t="str">
        <f t="shared" si="2"/>
        <v/>
      </c>
      <c r="AD90" s="10"/>
    </row>
    <row r="91" spans="1:30" x14ac:dyDescent="0.3">
      <c r="A91" s="2" t="s">
        <v>691</v>
      </c>
      <c r="B91" s="2" t="s">
        <v>1278</v>
      </c>
      <c r="C91" s="2">
        <v>0</v>
      </c>
      <c r="D91" s="2"/>
      <c r="E91" s="2" t="s">
        <v>692</v>
      </c>
      <c r="F91" s="2"/>
      <c r="G91" s="2" t="s">
        <v>693</v>
      </c>
      <c r="H91" s="2"/>
      <c r="I91" s="2">
        <v>72</v>
      </c>
      <c r="J91" s="2"/>
      <c r="K91" s="2" t="s">
        <v>1126</v>
      </c>
      <c r="L91" s="2" t="s">
        <v>694</v>
      </c>
      <c r="M91" s="2" t="s">
        <v>695</v>
      </c>
      <c r="N91" s="2"/>
      <c r="O91" s="2">
        <v>70.040000000000006</v>
      </c>
      <c r="P91" s="2">
        <v>48</v>
      </c>
      <c r="Q91" s="2"/>
      <c r="R91" s="2"/>
      <c r="S91" s="2"/>
      <c r="T91" s="2"/>
      <c r="U91" s="2"/>
      <c r="V91" s="2">
        <v>0</v>
      </c>
      <c r="W91" s="2" t="b">
        <v>0</v>
      </c>
      <c r="X91" s="4" t="s">
        <v>696</v>
      </c>
      <c r="Y91" s="2"/>
      <c r="Z91" s="2"/>
      <c r="AA91" s="2"/>
      <c r="AC91" s="5" t="str">
        <f t="shared" si="2"/>
        <v/>
      </c>
      <c r="AD91" s="10"/>
    </row>
    <row r="92" spans="1:30" x14ac:dyDescent="0.3">
      <c r="A92" s="2" t="s">
        <v>697</v>
      </c>
      <c r="B92" s="2" t="s">
        <v>1279</v>
      </c>
      <c r="C92" s="2">
        <v>0</v>
      </c>
      <c r="D92" s="2"/>
      <c r="E92" s="2" t="s">
        <v>698</v>
      </c>
      <c r="F92" s="2"/>
      <c r="G92" s="2" t="s">
        <v>699</v>
      </c>
      <c r="H92" s="2"/>
      <c r="I92" s="2">
        <v>45</v>
      </c>
      <c r="J92" s="2"/>
      <c r="K92" s="2" t="s">
        <v>1144</v>
      </c>
      <c r="L92" s="2" t="s">
        <v>700</v>
      </c>
      <c r="M92" s="2" t="s">
        <v>701</v>
      </c>
      <c r="N92" s="2"/>
      <c r="O92" s="2">
        <v>38.53</v>
      </c>
      <c r="P92" s="2">
        <v>12</v>
      </c>
      <c r="Q92" s="2"/>
      <c r="R92" s="2"/>
      <c r="S92" s="2"/>
      <c r="T92" s="2"/>
      <c r="U92" s="2"/>
      <c r="V92" s="2">
        <v>0</v>
      </c>
      <c r="W92" s="2" t="b">
        <v>0</v>
      </c>
      <c r="X92" s="4" t="s">
        <v>702</v>
      </c>
      <c r="Y92" s="2"/>
      <c r="Z92" s="2"/>
      <c r="AA92" s="2"/>
      <c r="AC92" s="5" t="str">
        <f t="shared" si="2"/>
        <v/>
      </c>
      <c r="AD92" s="10"/>
    </row>
    <row r="93" spans="1:30" x14ac:dyDescent="0.3">
      <c r="A93" s="7" t="s">
        <v>703</v>
      </c>
      <c r="B93" s="7" t="s">
        <v>1280</v>
      </c>
      <c r="C93" s="7">
        <v>1</v>
      </c>
      <c r="D93" s="7" t="s">
        <v>1281</v>
      </c>
      <c r="E93" s="7" t="s">
        <v>704</v>
      </c>
      <c r="F93" s="7" t="s">
        <v>704</v>
      </c>
      <c r="G93" s="7" t="s">
        <v>705</v>
      </c>
      <c r="H93" s="7" t="s">
        <v>706</v>
      </c>
      <c r="I93" s="7">
        <v>48900000</v>
      </c>
      <c r="J93" s="7">
        <v>32000000</v>
      </c>
      <c r="K93" s="7" t="s">
        <v>1134</v>
      </c>
      <c r="L93" s="7" t="s">
        <v>707</v>
      </c>
      <c r="M93" s="7" t="s">
        <v>708</v>
      </c>
      <c r="N93" s="7" t="s">
        <v>709</v>
      </c>
      <c r="O93" s="7">
        <v>49.44</v>
      </c>
      <c r="P93" s="7">
        <v>48</v>
      </c>
      <c r="Q93" s="7">
        <v>0.42099999999999999</v>
      </c>
      <c r="R93" s="7">
        <v>0.23749999999999999</v>
      </c>
      <c r="S93" s="7">
        <v>0</v>
      </c>
      <c r="T93" s="7">
        <v>0.87990000000000002</v>
      </c>
      <c r="U93" s="7">
        <v>8.0199999999999994E-2</v>
      </c>
      <c r="V93" s="7">
        <v>2</v>
      </c>
      <c r="W93" s="7" t="b">
        <v>0</v>
      </c>
      <c r="X93" s="9" t="s">
        <v>710</v>
      </c>
      <c r="Y93" s="9" t="s">
        <v>711</v>
      </c>
      <c r="Z93" s="7"/>
      <c r="AA93" s="7"/>
      <c r="AC93" s="5" t="str">
        <f t="shared" si="2"/>
        <v/>
      </c>
      <c r="AD93" s="10"/>
    </row>
    <row r="94" spans="1:30" x14ac:dyDescent="0.3">
      <c r="A94" s="2" t="s">
        <v>712</v>
      </c>
      <c r="B94" s="2" t="s">
        <v>1282</v>
      </c>
      <c r="C94" s="2">
        <v>0</v>
      </c>
      <c r="D94" s="2"/>
      <c r="E94" s="2" t="s">
        <v>713</v>
      </c>
      <c r="F94" s="2"/>
      <c r="G94" s="2" t="s">
        <v>714</v>
      </c>
      <c r="H94" s="2"/>
      <c r="I94" s="2">
        <v>72</v>
      </c>
      <c r="J94" s="2"/>
      <c r="K94" s="2" t="s">
        <v>1126</v>
      </c>
      <c r="L94" s="2" t="s">
        <v>715</v>
      </c>
      <c r="M94" s="2" t="s">
        <v>716</v>
      </c>
      <c r="N94" s="2"/>
      <c r="O94" s="2">
        <v>53.88</v>
      </c>
      <c r="P94" s="2">
        <v>24</v>
      </c>
      <c r="Q94" s="2"/>
      <c r="R94" s="2"/>
      <c r="S94" s="2"/>
      <c r="T94" s="2"/>
      <c r="U94" s="2"/>
      <c r="V94" s="2">
        <v>0</v>
      </c>
      <c r="W94" s="2" t="b">
        <v>0</v>
      </c>
      <c r="X94" s="4" t="s">
        <v>717</v>
      </c>
      <c r="Y94" s="2"/>
      <c r="Z94" s="2"/>
      <c r="AA94" s="2"/>
      <c r="AC94" s="5" t="str">
        <f t="shared" si="2"/>
        <v/>
      </c>
      <c r="AD94" s="10"/>
    </row>
    <row r="95" spans="1:30" x14ac:dyDescent="0.3">
      <c r="A95" s="7" t="s">
        <v>718</v>
      </c>
      <c r="B95" s="7" t="s">
        <v>1283</v>
      </c>
      <c r="C95" s="7">
        <v>1</v>
      </c>
      <c r="D95" s="7" t="s">
        <v>1284</v>
      </c>
      <c r="E95" s="7" t="s">
        <v>32</v>
      </c>
      <c r="F95" s="7" t="s">
        <v>32</v>
      </c>
      <c r="G95" s="7" t="s">
        <v>719</v>
      </c>
      <c r="H95" s="7" t="s">
        <v>720</v>
      </c>
      <c r="I95" s="7">
        <v>32322000</v>
      </c>
      <c r="J95" s="7">
        <v>32321300</v>
      </c>
      <c r="K95" s="7" t="s">
        <v>1138</v>
      </c>
      <c r="L95" s="7" t="s">
        <v>721</v>
      </c>
      <c r="M95" s="7" t="s">
        <v>722</v>
      </c>
      <c r="N95" s="7" t="s">
        <v>723</v>
      </c>
      <c r="O95" s="7">
        <v>12.45</v>
      </c>
      <c r="P95" s="7">
        <v>12</v>
      </c>
      <c r="Q95" s="7">
        <v>0.66359999999999997</v>
      </c>
      <c r="R95" s="7">
        <v>0.42780000000000001</v>
      </c>
      <c r="S95" s="7">
        <v>0.6</v>
      </c>
      <c r="T95" s="7">
        <v>0.96240000000000003</v>
      </c>
      <c r="U95" s="7">
        <v>0.11940000000000001</v>
      </c>
      <c r="V95" s="7">
        <v>10</v>
      </c>
      <c r="W95" s="7" t="b">
        <v>0</v>
      </c>
      <c r="X95" s="9" t="s">
        <v>724</v>
      </c>
      <c r="Y95" s="9" t="s">
        <v>725</v>
      </c>
      <c r="Z95" s="7"/>
      <c r="AA95" s="7"/>
      <c r="AC95" s="5" t="str">
        <f t="shared" si="2"/>
        <v/>
      </c>
      <c r="AD95" s="10"/>
    </row>
    <row r="96" spans="1:30" x14ac:dyDescent="0.3">
      <c r="A96" s="7" t="s">
        <v>726</v>
      </c>
      <c r="B96" s="7" t="s">
        <v>1285</v>
      </c>
      <c r="C96" s="7">
        <v>1</v>
      </c>
      <c r="D96" s="7" t="s">
        <v>1286</v>
      </c>
      <c r="E96" s="7" t="s">
        <v>727</v>
      </c>
      <c r="F96" s="7" t="s">
        <v>727</v>
      </c>
      <c r="G96" s="7" t="s">
        <v>728</v>
      </c>
      <c r="H96" s="7" t="s">
        <v>728</v>
      </c>
      <c r="I96" s="7">
        <v>45214800</v>
      </c>
      <c r="J96" s="7">
        <v>45214800</v>
      </c>
      <c r="K96" s="7" t="s">
        <v>1144</v>
      </c>
      <c r="L96" s="7" t="s">
        <v>729</v>
      </c>
      <c r="M96" s="7" t="s">
        <v>730</v>
      </c>
      <c r="N96" s="7" t="s">
        <v>731</v>
      </c>
      <c r="O96" s="7">
        <v>9.99</v>
      </c>
      <c r="P96" s="7">
        <v>18</v>
      </c>
      <c r="Q96" s="7">
        <v>0.86639999999999995</v>
      </c>
      <c r="R96" s="7">
        <v>1</v>
      </c>
      <c r="S96" s="7">
        <v>1</v>
      </c>
      <c r="T96" s="7">
        <v>0.3322</v>
      </c>
      <c r="U96" s="7">
        <v>0.34100000000000003</v>
      </c>
      <c r="V96" s="7">
        <v>2</v>
      </c>
      <c r="W96" s="7" t="b">
        <v>1</v>
      </c>
      <c r="X96" s="9" t="s">
        <v>732</v>
      </c>
      <c r="Y96" s="9" t="s">
        <v>733</v>
      </c>
      <c r="Z96" s="7"/>
      <c r="AA96" s="7"/>
      <c r="AC96" s="5" t="str">
        <f t="shared" si="2"/>
        <v/>
      </c>
      <c r="AD96" s="10"/>
    </row>
    <row r="97" spans="1:30" x14ac:dyDescent="0.3">
      <c r="A97" s="2" t="s">
        <v>734</v>
      </c>
      <c r="B97" s="2" t="s">
        <v>1287</v>
      </c>
      <c r="C97" s="2">
        <v>0</v>
      </c>
      <c r="D97" s="2"/>
      <c r="E97" s="2" t="s">
        <v>735</v>
      </c>
      <c r="F97" s="2"/>
      <c r="G97" s="2" t="s">
        <v>736</v>
      </c>
      <c r="H97" s="2"/>
      <c r="I97" s="2">
        <v>32</v>
      </c>
      <c r="J97" s="2"/>
      <c r="K97" s="2" t="s">
        <v>1138</v>
      </c>
      <c r="L97" s="2" t="s">
        <v>737</v>
      </c>
      <c r="M97" s="2" t="s">
        <v>738</v>
      </c>
      <c r="N97" s="2"/>
      <c r="O97" s="2">
        <v>56.41</v>
      </c>
      <c r="P97" s="2">
        <v>24</v>
      </c>
      <c r="Q97" s="2"/>
      <c r="R97" s="2"/>
      <c r="S97" s="2"/>
      <c r="T97" s="2"/>
      <c r="U97" s="2"/>
      <c r="V97" s="2">
        <v>0</v>
      </c>
      <c r="W97" s="2" t="b">
        <v>0</v>
      </c>
      <c r="X97" s="4" t="s">
        <v>739</v>
      </c>
      <c r="Y97" s="2"/>
      <c r="Z97" s="2"/>
      <c r="AA97" s="2"/>
      <c r="AC97" s="5" t="str">
        <f t="shared" si="2"/>
        <v/>
      </c>
      <c r="AD97" s="10"/>
    </row>
    <row r="98" spans="1:30" x14ac:dyDescent="0.3">
      <c r="A98" s="7" t="s">
        <v>740</v>
      </c>
      <c r="B98" s="7" t="s">
        <v>1288</v>
      </c>
      <c r="C98" s="7">
        <v>1</v>
      </c>
      <c r="D98" s="7" t="s">
        <v>1289</v>
      </c>
      <c r="E98" s="7" t="s">
        <v>32</v>
      </c>
      <c r="F98" s="7" t="s">
        <v>32</v>
      </c>
      <c r="G98" s="7" t="s">
        <v>741</v>
      </c>
      <c r="H98" s="7" t="s">
        <v>742</v>
      </c>
      <c r="I98" s="7">
        <v>72212200</v>
      </c>
      <c r="J98" s="7">
        <v>72212300</v>
      </c>
      <c r="K98" s="7" t="s">
        <v>1141</v>
      </c>
      <c r="L98" s="7" t="s">
        <v>743</v>
      </c>
      <c r="M98" s="7" t="s">
        <v>744</v>
      </c>
      <c r="N98" s="7" t="s">
        <v>745</v>
      </c>
      <c r="O98" s="7">
        <v>10.61</v>
      </c>
      <c r="P98" s="7">
        <v>12</v>
      </c>
      <c r="Q98" s="7">
        <v>0.70040000000000002</v>
      </c>
      <c r="R98" s="7">
        <v>0.43380000000000002</v>
      </c>
      <c r="S98" s="7">
        <v>0.8</v>
      </c>
      <c r="T98" s="7">
        <v>0.88429999999999997</v>
      </c>
      <c r="U98" s="7">
        <v>0.16139999999999999</v>
      </c>
      <c r="V98" s="7">
        <v>13</v>
      </c>
      <c r="W98" s="7" t="b">
        <v>1</v>
      </c>
      <c r="X98" s="9" t="s">
        <v>746</v>
      </c>
      <c r="Y98" s="9" t="s">
        <v>747</v>
      </c>
      <c r="Z98" s="7"/>
      <c r="AA98" s="7"/>
      <c r="AC98" s="5" t="str">
        <f t="shared" ref="AC98:AC129" si="3">IF(AB98="credible_renewal","true_positive",IF(AB98="not_credible_false_positive","false_positive",IF(AB98="plausible_censored","true_negative_or_plausible_censored",IF(AB98="missed_renewal_false_negative","false_negative",IF(OR(AB98="doubtful_but_possible",AB98="impossible_to_judge"),"not_applicable","")))))</f>
        <v/>
      </c>
      <c r="AD98" s="10"/>
    </row>
    <row r="99" spans="1:30" x14ac:dyDescent="0.3">
      <c r="A99" s="7" t="s">
        <v>748</v>
      </c>
      <c r="B99" s="7" t="s">
        <v>1290</v>
      </c>
      <c r="C99" s="7">
        <v>1</v>
      </c>
      <c r="D99" s="7" t="s">
        <v>1201</v>
      </c>
      <c r="E99" s="7" t="s">
        <v>343</v>
      </c>
      <c r="F99" s="7" t="s">
        <v>343</v>
      </c>
      <c r="G99" s="7" t="s">
        <v>749</v>
      </c>
      <c r="H99" s="7" t="s">
        <v>344</v>
      </c>
      <c r="I99" s="7">
        <v>35261000</v>
      </c>
      <c r="J99" s="7">
        <v>35261000</v>
      </c>
      <c r="K99" s="7" t="s">
        <v>1129</v>
      </c>
      <c r="L99" s="7" t="s">
        <v>750</v>
      </c>
      <c r="M99" s="7" t="s">
        <v>751</v>
      </c>
      <c r="N99" s="7" t="s">
        <v>116</v>
      </c>
      <c r="O99" s="7">
        <v>16.16</v>
      </c>
      <c r="P99" s="7">
        <v>12</v>
      </c>
      <c r="Q99" s="7">
        <v>0.70299999999999996</v>
      </c>
      <c r="R99" s="7">
        <v>0.43109999999999998</v>
      </c>
      <c r="S99" s="7">
        <v>1</v>
      </c>
      <c r="T99" s="7">
        <v>0.65310000000000001</v>
      </c>
      <c r="U99" s="7">
        <v>0.25109999999999999</v>
      </c>
      <c r="V99" s="7">
        <v>6</v>
      </c>
      <c r="W99" s="7" t="b">
        <v>1</v>
      </c>
      <c r="X99" s="9" t="s">
        <v>752</v>
      </c>
      <c r="Y99" s="9" t="s">
        <v>348</v>
      </c>
      <c r="Z99" s="7"/>
      <c r="AA99" s="7"/>
      <c r="AC99" s="5" t="str">
        <f t="shared" si="3"/>
        <v/>
      </c>
      <c r="AD99" s="10"/>
    </row>
    <row r="100" spans="1:30" x14ac:dyDescent="0.3">
      <c r="A100" s="7" t="s">
        <v>753</v>
      </c>
      <c r="B100" s="7" t="s">
        <v>1291</v>
      </c>
      <c r="C100" s="7">
        <v>1</v>
      </c>
      <c r="D100" s="7" t="s">
        <v>1292</v>
      </c>
      <c r="E100" s="7" t="s">
        <v>244</v>
      </c>
      <c r="F100" s="7" t="s">
        <v>244</v>
      </c>
      <c r="G100" s="7" t="s">
        <v>754</v>
      </c>
      <c r="H100" s="7" t="s">
        <v>755</v>
      </c>
      <c r="I100" s="7">
        <v>32500000</v>
      </c>
      <c r="J100" s="7">
        <v>32230000</v>
      </c>
      <c r="K100" s="7" t="s">
        <v>1138</v>
      </c>
      <c r="L100" s="7" t="s">
        <v>756</v>
      </c>
      <c r="M100" s="7" t="s">
        <v>757</v>
      </c>
      <c r="N100" s="7" t="s">
        <v>758</v>
      </c>
      <c r="O100" s="7">
        <v>41.06</v>
      </c>
      <c r="P100" s="7">
        <v>48</v>
      </c>
      <c r="Q100" s="7">
        <v>0.44190000000000002</v>
      </c>
      <c r="R100" s="7">
        <v>0.39389999999999997</v>
      </c>
      <c r="S100" s="7">
        <v>0.2</v>
      </c>
      <c r="T100" s="7">
        <v>0.42199999999999999</v>
      </c>
      <c r="U100" s="7">
        <v>1.8E-3</v>
      </c>
      <c r="V100" s="7">
        <v>4</v>
      </c>
      <c r="W100" s="7" t="b">
        <v>0</v>
      </c>
      <c r="X100" s="9" t="s">
        <v>759</v>
      </c>
      <c r="Y100" s="9" t="s">
        <v>760</v>
      </c>
      <c r="Z100" s="7"/>
      <c r="AA100" s="7"/>
      <c r="AC100" s="5" t="str">
        <f t="shared" si="3"/>
        <v/>
      </c>
      <c r="AD100" s="10"/>
    </row>
    <row r="101" spans="1:30" x14ac:dyDescent="0.3">
      <c r="A101" s="7" t="s">
        <v>761</v>
      </c>
      <c r="B101" s="7" t="s">
        <v>1293</v>
      </c>
      <c r="C101" s="7">
        <v>1</v>
      </c>
      <c r="D101" s="7" t="s">
        <v>1294</v>
      </c>
      <c r="E101" s="7" t="s">
        <v>762</v>
      </c>
      <c r="F101" s="7" t="s">
        <v>762</v>
      </c>
      <c r="G101" s="7" t="s">
        <v>763</v>
      </c>
      <c r="H101" s="7" t="s">
        <v>764</v>
      </c>
      <c r="I101" s="7">
        <v>32400000</v>
      </c>
      <c r="J101" s="7">
        <v>32323500</v>
      </c>
      <c r="K101" s="7" t="s">
        <v>1138</v>
      </c>
      <c r="L101" s="7" t="s">
        <v>765</v>
      </c>
      <c r="M101" s="7" t="s">
        <v>766</v>
      </c>
      <c r="N101" s="7" t="s">
        <v>767</v>
      </c>
      <c r="O101" s="7">
        <v>46.29</v>
      </c>
      <c r="P101" s="7">
        <v>48</v>
      </c>
      <c r="Q101" s="7">
        <v>0.51480000000000004</v>
      </c>
      <c r="R101" s="7">
        <v>0.3584</v>
      </c>
      <c r="S101" s="7">
        <v>0.2</v>
      </c>
      <c r="T101" s="7">
        <v>0.85729999999999995</v>
      </c>
      <c r="U101" s="7">
        <v>9.1300000000000006E-2</v>
      </c>
      <c r="V101" s="7">
        <v>8</v>
      </c>
      <c r="W101" s="7" t="b">
        <v>0</v>
      </c>
      <c r="X101" s="9" t="s">
        <v>768</v>
      </c>
      <c r="Y101" s="9" t="s">
        <v>769</v>
      </c>
      <c r="Z101" s="7"/>
      <c r="AA101" s="7"/>
      <c r="AC101" s="5" t="str">
        <f t="shared" si="3"/>
        <v/>
      </c>
      <c r="AD101" s="10"/>
    </row>
    <row r="102" spans="1:30" x14ac:dyDescent="0.3">
      <c r="A102" s="7" t="s">
        <v>770</v>
      </c>
      <c r="B102" s="7" t="s">
        <v>1295</v>
      </c>
      <c r="C102" s="7">
        <v>1</v>
      </c>
      <c r="D102" s="7" t="s">
        <v>1296</v>
      </c>
      <c r="E102" s="7" t="s">
        <v>32</v>
      </c>
      <c r="F102" s="7" t="s">
        <v>32</v>
      </c>
      <c r="G102" s="7" t="s">
        <v>771</v>
      </c>
      <c r="H102" s="7" t="s">
        <v>772</v>
      </c>
      <c r="I102" s="7">
        <v>48800000</v>
      </c>
      <c r="J102" s="7">
        <v>48800000</v>
      </c>
      <c r="K102" s="7" t="s">
        <v>1297</v>
      </c>
      <c r="L102" s="7" t="s">
        <v>773</v>
      </c>
      <c r="M102" s="7" t="s">
        <v>774</v>
      </c>
      <c r="N102" s="7" t="s">
        <v>775</v>
      </c>
      <c r="O102" s="7">
        <v>7.36</v>
      </c>
      <c r="P102" s="7">
        <v>12</v>
      </c>
      <c r="Q102" s="7">
        <v>0.76929999999999998</v>
      </c>
      <c r="R102" s="7">
        <v>0.61660000000000004</v>
      </c>
      <c r="S102" s="7">
        <v>1</v>
      </c>
      <c r="T102" s="7">
        <v>0.61319999999999997</v>
      </c>
      <c r="U102" s="7">
        <v>0.15049999999999999</v>
      </c>
      <c r="V102" s="7">
        <v>20</v>
      </c>
      <c r="W102" s="7" t="b">
        <v>1</v>
      </c>
      <c r="X102" s="9" t="s">
        <v>776</v>
      </c>
      <c r="Y102" s="9" t="s">
        <v>777</v>
      </c>
      <c r="Z102" s="7"/>
      <c r="AA102" s="7"/>
      <c r="AC102" s="5" t="str">
        <f t="shared" si="3"/>
        <v/>
      </c>
      <c r="AD102" s="10"/>
    </row>
    <row r="103" spans="1:30" x14ac:dyDescent="0.3">
      <c r="A103" s="7" t="s">
        <v>778</v>
      </c>
      <c r="B103" s="7" t="s">
        <v>1298</v>
      </c>
      <c r="C103" s="7">
        <v>1</v>
      </c>
      <c r="D103" s="7" t="s">
        <v>1299</v>
      </c>
      <c r="E103" s="7" t="s">
        <v>334</v>
      </c>
      <c r="F103" s="7" t="s">
        <v>334</v>
      </c>
      <c r="G103" s="7" t="s">
        <v>779</v>
      </c>
      <c r="H103" s="7" t="s">
        <v>780</v>
      </c>
      <c r="I103" s="7">
        <v>72611000</v>
      </c>
      <c r="J103" s="7">
        <v>72611000</v>
      </c>
      <c r="K103" s="7" t="s">
        <v>1248</v>
      </c>
      <c r="L103" s="7" t="s">
        <v>781</v>
      </c>
      <c r="M103" s="7" t="s">
        <v>782</v>
      </c>
      <c r="N103" s="7" t="s">
        <v>641</v>
      </c>
      <c r="O103" s="7">
        <v>51.25</v>
      </c>
      <c r="P103" s="7">
        <v>48</v>
      </c>
      <c r="Q103" s="7">
        <v>0.85150000000000003</v>
      </c>
      <c r="R103" s="7">
        <v>0.7641</v>
      </c>
      <c r="S103" s="7">
        <v>1</v>
      </c>
      <c r="T103" s="7">
        <v>0.72929999999999995</v>
      </c>
      <c r="U103" s="7">
        <v>8.5900000000000004E-2</v>
      </c>
      <c r="V103" s="7">
        <v>12</v>
      </c>
      <c r="W103" s="7" t="b">
        <v>1</v>
      </c>
      <c r="X103" s="9" t="s">
        <v>783</v>
      </c>
      <c r="Y103" s="9" t="s">
        <v>784</v>
      </c>
      <c r="Z103" s="7"/>
      <c r="AA103" s="7"/>
      <c r="AC103" s="5" t="str">
        <f t="shared" si="3"/>
        <v/>
      </c>
      <c r="AD103" s="10"/>
    </row>
    <row r="104" spans="1:30" x14ac:dyDescent="0.3">
      <c r="A104" s="7" t="s">
        <v>785</v>
      </c>
      <c r="B104" s="7" t="s">
        <v>1300</v>
      </c>
      <c r="C104" s="7">
        <v>1</v>
      </c>
      <c r="D104" s="7" t="s">
        <v>1301</v>
      </c>
      <c r="E104" s="7" t="s">
        <v>128</v>
      </c>
      <c r="F104" s="7" t="s">
        <v>128</v>
      </c>
      <c r="G104" s="7" t="s">
        <v>786</v>
      </c>
      <c r="H104" s="7" t="s">
        <v>787</v>
      </c>
      <c r="I104" s="7">
        <v>48000000</v>
      </c>
      <c r="J104" s="7">
        <v>48000000</v>
      </c>
      <c r="K104" s="7" t="s">
        <v>1134</v>
      </c>
      <c r="L104" s="7" t="s">
        <v>788</v>
      </c>
      <c r="M104" s="7" t="s">
        <v>29</v>
      </c>
      <c r="N104" s="7" t="s">
        <v>789</v>
      </c>
      <c r="O104" s="7">
        <v>48.65</v>
      </c>
      <c r="P104" s="7">
        <v>48</v>
      </c>
      <c r="Q104" s="7">
        <v>0.56110000000000004</v>
      </c>
      <c r="R104" s="7">
        <v>0.4299</v>
      </c>
      <c r="S104" s="7">
        <v>0.2</v>
      </c>
      <c r="T104" s="7">
        <v>0.9456</v>
      </c>
      <c r="U104" s="7">
        <v>1.6000000000000001E-3</v>
      </c>
      <c r="V104" s="7">
        <v>36</v>
      </c>
      <c r="W104" s="7" t="b">
        <v>0</v>
      </c>
      <c r="X104" s="9" t="s">
        <v>790</v>
      </c>
      <c r="Y104" s="9" t="s">
        <v>791</v>
      </c>
      <c r="Z104" s="7"/>
      <c r="AA104" s="7"/>
      <c r="AC104" s="5" t="str">
        <f t="shared" si="3"/>
        <v/>
      </c>
      <c r="AD104" s="10"/>
    </row>
    <row r="105" spans="1:30" x14ac:dyDescent="0.3">
      <c r="A105" s="2" t="s">
        <v>792</v>
      </c>
      <c r="B105" s="2" t="s">
        <v>1238</v>
      </c>
      <c r="C105" s="2">
        <v>0</v>
      </c>
      <c r="D105" s="2"/>
      <c r="E105" s="2" t="s">
        <v>511</v>
      </c>
      <c r="F105" s="2"/>
      <c r="G105" s="2" t="s">
        <v>512</v>
      </c>
      <c r="H105" s="2"/>
      <c r="I105" s="2">
        <v>72</v>
      </c>
      <c r="J105" s="2"/>
      <c r="K105" s="2" t="s">
        <v>1126</v>
      </c>
      <c r="L105" s="2" t="s">
        <v>515</v>
      </c>
      <c r="M105" s="2" t="s">
        <v>793</v>
      </c>
      <c r="N105" s="2"/>
      <c r="O105" s="2">
        <v>38.11</v>
      </c>
      <c r="P105" s="2">
        <v>6</v>
      </c>
      <c r="Q105" s="2"/>
      <c r="R105" s="2"/>
      <c r="S105" s="2"/>
      <c r="T105" s="2"/>
      <c r="U105" s="2"/>
      <c r="V105" s="2">
        <v>0</v>
      </c>
      <c r="W105" s="2" t="b">
        <v>0</v>
      </c>
      <c r="X105" s="4" t="s">
        <v>517</v>
      </c>
      <c r="Y105" s="2"/>
      <c r="Z105" s="2" t="s">
        <v>794</v>
      </c>
      <c r="AA105" s="2" t="s">
        <v>795</v>
      </c>
      <c r="AC105" s="5" t="str">
        <f t="shared" si="3"/>
        <v/>
      </c>
      <c r="AD105" s="10"/>
    </row>
    <row r="106" spans="1:30" x14ac:dyDescent="0.3">
      <c r="A106" s="7" t="s">
        <v>796</v>
      </c>
      <c r="B106" s="7" t="s">
        <v>1302</v>
      </c>
      <c r="C106" s="7">
        <v>1</v>
      </c>
      <c r="D106" s="7" t="s">
        <v>1303</v>
      </c>
      <c r="E106" s="7" t="s">
        <v>797</v>
      </c>
      <c r="F106" s="7" t="s">
        <v>797</v>
      </c>
      <c r="G106" s="7" t="s">
        <v>798</v>
      </c>
      <c r="H106" s="7" t="s">
        <v>799</v>
      </c>
      <c r="I106" s="7"/>
      <c r="J106" s="7">
        <v>48481000</v>
      </c>
      <c r="K106" s="7" t="s">
        <v>1129</v>
      </c>
      <c r="L106" s="7" t="s">
        <v>800</v>
      </c>
      <c r="M106" s="7" t="s">
        <v>801</v>
      </c>
      <c r="N106" s="7" t="s">
        <v>802</v>
      </c>
      <c r="O106" s="7">
        <v>41.39</v>
      </c>
      <c r="P106" s="7">
        <v>48</v>
      </c>
      <c r="Q106" s="7">
        <v>0.52649999999999997</v>
      </c>
      <c r="R106" s="7">
        <v>0.38750000000000001</v>
      </c>
      <c r="S106" s="7"/>
      <c r="T106" s="7">
        <v>0.44940000000000002</v>
      </c>
      <c r="U106" s="7">
        <v>0.14369999999999999</v>
      </c>
      <c r="V106" s="7">
        <v>2</v>
      </c>
      <c r="W106" s="7" t="b">
        <v>0</v>
      </c>
      <c r="X106" s="9" t="s">
        <v>803</v>
      </c>
      <c r="Y106" s="9" t="s">
        <v>804</v>
      </c>
      <c r="Z106" s="7"/>
      <c r="AA106" s="7"/>
      <c r="AC106" s="5" t="str">
        <f t="shared" si="3"/>
        <v/>
      </c>
      <c r="AD106" s="10"/>
    </row>
    <row r="107" spans="1:30" x14ac:dyDescent="0.3">
      <c r="A107" s="7" t="s">
        <v>805</v>
      </c>
      <c r="B107" s="7" t="s">
        <v>1304</v>
      </c>
      <c r="C107" s="7">
        <v>1</v>
      </c>
      <c r="D107" s="7" t="s">
        <v>1305</v>
      </c>
      <c r="E107" s="7" t="s">
        <v>128</v>
      </c>
      <c r="F107" s="7" t="s">
        <v>128</v>
      </c>
      <c r="G107" s="7" t="s">
        <v>806</v>
      </c>
      <c r="H107" s="7" t="s">
        <v>807</v>
      </c>
      <c r="I107" s="7">
        <v>72250000</v>
      </c>
      <c r="J107" s="7">
        <v>72250000</v>
      </c>
      <c r="K107" s="7" t="s">
        <v>1129</v>
      </c>
      <c r="L107" s="7" t="s">
        <v>808</v>
      </c>
      <c r="M107" s="7" t="s">
        <v>809</v>
      </c>
      <c r="N107" s="7" t="s">
        <v>810</v>
      </c>
      <c r="O107" s="7">
        <v>49.87</v>
      </c>
      <c r="P107" s="7">
        <v>48</v>
      </c>
      <c r="Q107" s="7">
        <v>0.85409999999999997</v>
      </c>
      <c r="R107" s="7">
        <v>0.71319999999999995</v>
      </c>
      <c r="S107" s="7">
        <v>1</v>
      </c>
      <c r="T107" s="7">
        <v>0.84430000000000005</v>
      </c>
      <c r="U107" s="7">
        <v>5.7700000000000001E-2</v>
      </c>
      <c r="V107" s="7">
        <v>29</v>
      </c>
      <c r="W107" s="7" t="b">
        <v>1</v>
      </c>
      <c r="X107" s="9" t="s">
        <v>811</v>
      </c>
      <c r="Y107" s="9" t="s">
        <v>812</v>
      </c>
      <c r="Z107" s="7"/>
      <c r="AA107" s="7"/>
      <c r="AC107" s="5" t="str">
        <f t="shared" si="3"/>
        <v/>
      </c>
      <c r="AD107" s="10"/>
    </row>
    <row r="108" spans="1:30" x14ac:dyDescent="0.3">
      <c r="A108" s="7" t="s">
        <v>813</v>
      </c>
      <c r="B108" s="7" t="s">
        <v>1306</v>
      </c>
      <c r="C108" s="7">
        <v>1</v>
      </c>
      <c r="D108" s="7" t="s">
        <v>1307</v>
      </c>
      <c r="E108" s="7" t="s">
        <v>814</v>
      </c>
      <c r="F108" s="7" t="s">
        <v>814</v>
      </c>
      <c r="G108" s="7" t="s">
        <v>815</v>
      </c>
      <c r="H108" s="7" t="s">
        <v>816</v>
      </c>
      <c r="I108" s="7">
        <v>48000000</v>
      </c>
      <c r="J108" s="7">
        <v>72250000</v>
      </c>
      <c r="K108" s="7" t="s">
        <v>1134</v>
      </c>
      <c r="L108" s="7" t="s">
        <v>817</v>
      </c>
      <c r="M108" s="7" t="s">
        <v>818</v>
      </c>
      <c r="N108" s="7" t="s">
        <v>819</v>
      </c>
      <c r="O108" s="7">
        <v>45.63</v>
      </c>
      <c r="P108" s="7">
        <v>48</v>
      </c>
      <c r="Q108" s="7">
        <v>0.56879999999999997</v>
      </c>
      <c r="R108" s="7">
        <v>0.64570000000000005</v>
      </c>
      <c r="S108" s="7">
        <v>0</v>
      </c>
      <c r="T108" s="7">
        <v>0.80259999999999998</v>
      </c>
      <c r="U108" s="7"/>
      <c r="V108" s="7">
        <v>1</v>
      </c>
      <c r="W108" s="7" t="b">
        <v>0</v>
      </c>
      <c r="X108" s="9" t="s">
        <v>820</v>
      </c>
      <c r="Y108" s="9" t="s">
        <v>821</v>
      </c>
      <c r="Z108" s="7"/>
      <c r="AA108" s="7"/>
      <c r="AC108" s="5" t="str">
        <f t="shared" si="3"/>
        <v/>
      </c>
      <c r="AD108" s="10"/>
    </row>
    <row r="109" spans="1:30" x14ac:dyDescent="0.3">
      <c r="A109" s="2" t="s">
        <v>822</v>
      </c>
      <c r="B109" s="2" t="s">
        <v>1308</v>
      </c>
      <c r="C109" s="2">
        <v>0</v>
      </c>
      <c r="D109" s="2"/>
      <c r="E109" s="2" t="s">
        <v>823</v>
      </c>
      <c r="F109" s="2"/>
      <c r="G109" s="2" t="s">
        <v>824</v>
      </c>
      <c r="H109" s="2"/>
      <c r="I109" s="2"/>
      <c r="J109" s="2"/>
      <c r="K109" s="2" t="s">
        <v>1190</v>
      </c>
      <c r="L109" s="2" t="s">
        <v>825</v>
      </c>
      <c r="M109" s="2" t="s">
        <v>826</v>
      </c>
      <c r="N109" s="2"/>
      <c r="O109" s="2">
        <v>101.61</v>
      </c>
      <c r="P109" s="2">
        <v>48</v>
      </c>
      <c r="Q109" s="2"/>
      <c r="R109" s="2"/>
      <c r="S109" s="2"/>
      <c r="T109" s="2"/>
      <c r="U109" s="2"/>
      <c r="V109" s="2">
        <v>0</v>
      </c>
      <c r="W109" s="2" t="b">
        <v>0</v>
      </c>
      <c r="X109" s="4" t="s">
        <v>827</v>
      </c>
      <c r="Y109" s="2"/>
      <c r="Z109" s="2"/>
      <c r="AA109" s="2"/>
      <c r="AC109" s="5" t="str">
        <f t="shared" si="3"/>
        <v/>
      </c>
      <c r="AD109" s="10"/>
    </row>
    <row r="110" spans="1:30" x14ac:dyDescent="0.3">
      <c r="A110" s="7" t="s">
        <v>828</v>
      </c>
      <c r="B110" s="7" t="s">
        <v>1309</v>
      </c>
      <c r="C110" s="7">
        <v>1</v>
      </c>
      <c r="D110" s="7" t="s">
        <v>1310</v>
      </c>
      <c r="E110" s="7" t="s">
        <v>527</v>
      </c>
      <c r="F110" s="7" t="s">
        <v>527</v>
      </c>
      <c r="G110" s="7" t="s">
        <v>829</v>
      </c>
      <c r="H110" s="7" t="s">
        <v>830</v>
      </c>
      <c r="I110" s="7">
        <v>72314000</v>
      </c>
      <c r="J110" s="7">
        <v>72314000</v>
      </c>
      <c r="K110" s="7" t="s">
        <v>1126</v>
      </c>
      <c r="L110" s="7" t="s">
        <v>831</v>
      </c>
      <c r="M110" s="7" t="s">
        <v>832</v>
      </c>
      <c r="N110" s="7" t="s">
        <v>286</v>
      </c>
      <c r="O110" s="7">
        <v>46.78</v>
      </c>
      <c r="P110" s="7">
        <v>48</v>
      </c>
      <c r="Q110" s="7">
        <v>0.93440000000000001</v>
      </c>
      <c r="R110" s="7">
        <v>0.88690000000000002</v>
      </c>
      <c r="S110" s="7">
        <v>1</v>
      </c>
      <c r="T110" s="7">
        <v>0.89839999999999998</v>
      </c>
      <c r="U110" s="7">
        <v>0.3004</v>
      </c>
      <c r="V110" s="7">
        <v>7</v>
      </c>
      <c r="W110" s="7" t="b">
        <v>1</v>
      </c>
      <c r="X110" s="9" t="s">
        <v>833</v>
      </c>
      <c r="Y110" s="9" t="s">
        <v>834</v>
      </c>
      <c r="Z110" s="7"/>
      <c r="AA110" s="7"/>
      <c r="AC110" s="5" t="str">
        <f t="shared" si="3"/>
        <v/>
      </c>
      <c r="AD110" s="10"/>
    </row>
    <row r="111" spans="1:30" x14ac:dyDescent="0.3">
      <c r="A111" s="2" t="s">
        <v>835</v>
      </c>
      <c r="B111" s="2" t="s">
        <v>1311</v>
      </c>
      <c r="C111" s="2">
        <v>0</v>
      </c>
      <c r="D111" s="2"/>
      <c r="E111" s="2" t="s">
        <v>836</v>
      </c>
      <c r="F111" s="2"/>
      <c r="G111" s="2" t="s">
        <v>837</v>
      </c>
      <c r="H111" s="2"/>
      <c r="I111" s="2">
        <v>48</v>
      </c>
      <c r="J111" s="2"/>
      <c r="K111" s="2" t="s">
        <v>1134</v>
      </c>
      <c r="L111" s="2" t="s">
        <v>838</v>
      </c>
      <c r="M111" s="2" t="s">
        <v>839</v>
      </c>
      <c r="N111" s="2"/>
      <c r="O111" s="2">
        <v>104.4</v>
      </c>
      <c r="P111" s="2">
        <v>14</v>
      </c>
      <c r="Q111" s="2"/>
      <c r="R111" s="2"/>
      <c r="S111" s="2"/>
      <c r="T111" s="2"/>
      <c r="U111" s="2"/>
      <c r="V111" s="2">
        <v>0</v>
      </c>
      <c r="W111" s="2" t="b">
        <v>0</v>
      </c>
      <c r="X111" s="4" t="s">
        <v>840</v>
      </c>
      <c r="Y111" s="2"/>
      <c r="Z111" s="2"/>
      <c r="AA111" s="2"/>
      <c r="AC111" s="5" t="str">
        <f t="shared" si="3"/>
        <v/>
      </c>
      <c r="AD111" s="10"/>
    </row>
    <row r="112" spans="1:30" x14ac:dyDescent="0.3">
      <c r="A112" s="7" t="s">
        <v>841</v>
      </c>
      <c r="B112" s="7" t="s">
        <v>1312</v>
      </c>
      <c r="C112" s="7">
        <v>1</v>
      </c>
      <c r="D112" s="7" t="s">
        <v>1313</v>
      </c>
      <c r="E112" s="7" t="s">
        <v>361</v>
      </c>
      <c r="F112" s="7" t="s">
        <v>361</v>
      </c>
      <c r="G112" s="7" t="s">
        <v>842</v>
      </c>
      <c r="H112" s="7" t="s">
        <v>843</v>
      </c>
      <c r="I112" s="7"/>
      <c r="J112" s="7">
        <v>32400000</v>
      </c>
      <c r="K112" s="7" t="s">
        <v>1190</v>
      </c>
      <c r="L112" s="7" t="s">
        <v>52</v>
      </c>
      <c r="M112" s="7" t="s">
        <v>844</v>
      </c>
      <c r="N112" s="7" t="s">
        <v>845</v>
      </c>
      <c r="O112" s="7">
        <v>7.23</v>
      </c>
      <c r="P112" s="7">
        <v>12</v>
      </c>
      <c r="Q112" s="7">
        <v>0.51549999999999996</v>
      </c>
      <c r="R112" s="7">
        <v>0.29039999999999999</v>
      </c>
      <c r="S112" s="7"/>
      <c r="T112" s="7">
        <v>0.60229999999999995</v>
      </c>
      <c r="U112" s="7"/>
      <c r="V112" s="7">
        <v>1</v>
      </c>
      <c r="W112" s="7" t="b">
        <v>0</v>
      </c>
      <c r="X112" s="9" t="s">
        <v>846</v>
      </c>
      <c r="Y112" s="9" t="s">
        <v>847</v>
      </c>
      <c r="Z112" s="7"/>
      <c r="AA112" s="7"/>
      <c r="AC112" s="5" t="str">
        <f t="shared" si="3"/>
        <v/>
      </c>
      <c r="AD112" s="10"/>
    </row>
    <row r="113" spans="1:30" x14ac:dyDescent="0.3">
      <c r="A113" s="7" t="s">
        <v>848</v>
      </c>
      <c r="B113" s="7" t="s">
        <v>1314</v>
      </c>
      <c r="C113" s="7">
        <v>1</v>
      </c>
      <c r="D113" s="7" t="s">
        <v>1315</v>
      </c>
      <c r="E113" s="7" t="s">
        <v>849</v>
      </c>
      <c r="F113" s="7" t="s">
        <v>849</v>
      </c>
      <c r="G113" s="7" t="s">
        <v>850</v>
      </c>
      <c r="H113" s="7" t="s">
        <v>851</v>
      </c>
      <c r="I113" s="7">
        <v>72220000</v>
      </c>
      <c r="J113" s="7">
        <v>72200000</v>
      </c>
      <c r="K113" s="7" t="s">
        <v>1126</v>
      </c>
      <c r="L113" s="7" t="s">
        <v>852</v>
      </c>
      <c r="M113" s="7" t="s">
        <v>853</v>
      </c>
      <c r="N113" s="7" t="s">
        <v>854</v>
      </c>
      <c r="O113" s="7">
        <v>8.77</v>
      </c>
      <c r="P113" s="7">
        <v>12</v>
      </c>
      <c r="Q113" s="7">
        <v>0.54320000000000002</v>
      </c>
      <c r="R113" s="7">
        <v>0.36749999999999999</v>
      </c>
      <c r="S113" s="7">
        <v>0.4</v>
      </c>
      <c r="T113" s="7">
        <v>0.73089999999999999</v>
      </c>
      <c r="U113" s="7">
        <v>2.5899999999999999E-2</v>
      </c>
      <c r="V113" s="7">
        <v>4</v>
      </c>
      <c r="W113" s="7" t="b">
        <v>0</v>
      </c>
      <c r="X113" s="9" t="s">
        <v>855</v>
      </c>
      <c r="Y113" s="9" t="s">
        <v>856</v>
      </c>
      <c r="Z113" s="7"/>
      <c r="AA113" s="7"/>
      <c r="AC113" s="5" t="str">
        <f t="shared" si="3"/>
        <v/>
      </c>
      <c r="AD113" s="10"/>
    </row>
    <row r="114" spans="1:30" x14ac:dyDescent="0.3">
      <c r="A114" s="7" t="s">
        <v>857</v>
      </c>
      <c r="B114" s="7" t="s">
        <v>1316</v>
      </c>
      <c r="C114" s="7">
        <v>1</v>
      </c>
      <c r="D114" s="7" t="s">
        <v>1317</v>
      </c>
      <c r="E114" s="7" t="s">
        <v>858</v>
      </c>
      <c r="F114" s="7" t="s">
        <v>858</v>
      </c>
      <c r="G114" s="7" t="s">
        <v>859</v>
      </c>
      <c r="H114" s="7" t="s">
        <v>860</v>
      </c>
      <c r="I114" s="7">
        <v>72700000</v>
      </c>
      <c r="J114" s="7">
        <v>45212350</v>
      </c>
      <c r="K114" s="7" t="s">
        <v>1126</v>
      </c>
      <c r="L114" s="7" t="s">
        <v>861</v>
      </c>
      <c r="M114" s="7" t="s">
        <v>862</v>
      </c>
      <c r="N114" s="7" t="s">
        <v>863</v>
      </c>
      <c r="O114" s="7">
        <v>45.57</v>
      </c>
      <c r="P114" s="7">
        <v>48</v>
      </c>
      <c r="Q114" s="7">
        <v>0.4824</v>
      </c>
      <c r="R114" s="7">
        <v>0.4325</v>
      </c>
      <c r="S114" s="7">
        <v>0</v>
      </c>
      <c r="T114" s="7">
        <v>0.79710000000000003</v>
      </c>
      <c r="U114" s="7"/>
      <c r="V114" s="7">
        <v>1</v>
      </c>
      <c r="W114" s="7" t="b">
        <v>0</v>
      </c>
      <c r="X114" s="9" t="s">
        <v>864</v>
      </c>
      <c r="Y114" s="9" t="s">
        <v>865</v>
      </c>
      <c r="Z114" s="7"/>
      <c r="AA114" s="7"/>
      <c r="AC114" s="5" t="str">
        <f t="shared" si="3"/>
        <v/>
      </c>
      <c r="AD114" s="10"/>
    </row>
    <row r="115" spans="1:30" x14ac:dyDescent="0.3">
      <c r="A115" s="7" t="s">
        <v>866</v>
      </c>
      <c r="B115" s="7" t="s">
        <v>1318</v>
      </c>
      <c r="C115" s="7">
        <v>1</v>
      </c>
      <c r="D115" s="7" t="s">
        <v>1319</v>
      </c>
      <c r="E115" s="7" t="s">
        <v>361</v>
      </c>
      <c r="F115" s="7" t="s">
        <v>361</v>
      </c>
      <c r="G115" s="7" t="s">
        <v>867</v>
      </c>
      <c r="H115" s="7" t="s">
        <v>868</v>
      </c>
      <c r="I115" s="7">
        <v>72210000</v>
      </c>
      <c r="J115" s="7">
        <v>48000000</v>
      </c>
      <c r="K115" s="7" t="s">
        <v>1126</v>
      </c>
      <c r="L115" s="7" t="s">
        <v>869</v>
      </c>
      <c r="M115" s="7" t="s">
        <v>870</v>
      </c>
      <c r="N115" s="7" t="s">
        <v>871</v>
      </c>
      <c r="O115" s="7">
        <v>69.12</v>
      </c>
      <c r="P115" s="7">
        <v>72</v>
      </c>
      <c r="Q115" s="7">
        <v>0.38740000000000002</v>
      </c>
      <c r="R115" s="7">
        <v>0.21340000000000001</v>
      </c>
      <c r="S115" s="7">
        <v>0</v>
      </c>
      <c r="T115" s="7">
        <v>0.76</v>
      </c>
      <c r="U115" s="7">
        <v>0.1109</v>
      </c>
      <c r="V115" s="7">
        <v>2</v>
      </c>
      <c r="W115" s="7" t="b">
        <v>0</v>
      </c>
      <c r="X115" s="9" t="s">
        <v>872</v>
      </c>
      <c r="Y115" s="9" t="s">
        <v>873</v>
      </c>
      <c r="Z115" s="7"/>
      <c r="AA115" s="7"/>
      <c r="AC115" s="5" t="str">
        <f t="shared" si="3"/>
        <v/>
      </c>
      <c r="AD115" s="10"/>
    </row>
    <row r="116" spans="1:30" x14ac:dyDescent="0.3">
      <c r="A116" s="7" t="s">
        <v>874</v>
      </c>
      <c r="B116" s="7" t="s">
        <v>1320</v>
      </c>
      <c r="C116" s="7">
        <v>1</v>
      </c>
      <c r="D116" s="7" t="s">
        <v>1321</v>
      </c>
      <c r="E116" s="7" t="s">
        <v>613</v>
      </c>
      <c r="F116" s="7" t="s">
        <v>72</v>
      </c>
      <c r="G116" s="7" t="s">
        <v>875</v>
      </c>
      <c r="H116" s="7" t="s">
        <v>876</v>
      </c>
      <c r="I116" s="7"/>
      <c r="J116" s="7">
        <v>48613000</v>
      </c>
      <c r="K116" s="7" t="s">
        <v>1190</v>
      </c>
      <c r="L116" s="7" t="s">
        <v>877</v>
      </c>
      <c r="M116" s="7" t="s">
        <v>878</v>
      </c>
      <c r="N116" s="7" t="s">
        <v>879</v>
      </c>
      <c r="O116" s="7">
        <v>38.11</v>
      </c>
      <c r="P116" s="7">
        <v>48</v>
      </c>
      <c r="Q116" s="7">
        <v>0.43840000000000001</v>
      </c>
      <c r="R116" s="7">
        <v>0.35930000000000001</v>
      </c>
      <c r="S116" s="7"/>
      <c r="T116" s="7">
        <v>0.17560000000000001</v>
      </c>
      <c r="U116" s="7"/>
      <c r="V116" s="7">
        <v>1</v>
      </c>
      <c r="W116" s="7" t="b">
        <v>0</v>
      </c>
      <c r="X116" s="9" t="s">
        <v>880</v>
      </c>
      <c r="Y116" s="9" t="s">
        <v>881</v>
      </c>
      <c r="Z116" s="7"/>
      <c r="AA116" s="7"/>
      <c r="AC116" s="5" t="str">
        <f t="shared" si="3"/>
        <v/>
      </c>
      <c r="AD116" s="10"/>
    </row>
    <row r="117" spans="1:30" x14ac:dyDescent="0.3">
      <c r="A117" s="7" t="s">
        <v>882</v>
      </c>
      <c r="B117" s="7" t="s">
        <v>1322</v>
      </c>
      <c r="C117" s="7">
        <v>1</v>
      </c>
      <c r="D117" s="7" t="s">
        <v>1323</v>
      </c>
      <c r="E117" s="7" t="s">
        <v>32</v>
      </c>
      <c r="F117" s="7" t="s">
        <v>32</v>
      </c>
      <c r="G117" s="7" t="s">
        <v>883</v>
      </c>
      <c r="H117" s="7" t="s">
        <v>884</v>
      </c>
      <c r="I117" s="7">
        <v>72250000</v>
      </c>
      <c r="J117" s="7">
        <v>72250000</v>
      </c>
      <c r="K117" s="7" t="s">
        <v>1129</v>
      </c>
      <c r="L117" s="7" t="s">
        <v>885</v>
      </c>
      <c r="M117" s="7" t="s">
        <v>886</v>
      </c>
      <c r="N117" s="7" t="s">
        <v>887</v>
      </c>
      <c r="O117" s="7">
        <v>45.66</v>
      </c>
      <c r="P117" s="7">
        <v>48</v>
      </c>
      <c r="Q117" s="7">
        <v>0.64259999999999995</v>
      </c>
      <c r="R117" s="7">
        <v>0.20380000000000001</v>
      </c>
      <c r="S117" s="7">
        <v>1</v>
      </c>
      <c r="T117" s="7">
        <v>0.80530000000000002</v>
      </c>
      <c r="U117" s="7">
        <v>4.41E-2</v>
      </c>
      <c r="V117" s="7">
        <v>21</v>
      </c>
      <c r="W117" s="7" t="b">
        <v>0</v>
      </c>
      <c r="X117" s="9" t="s">
        <v>888</v>
      </c>
      <c r="Y117" s="9" t="s">
        <v>889</v>
      </c>
      <c r="Z117" s="7"/>
      <c r="AA117" s="7"/>
      <c r="AC117" s="5" t="str">
        <f t="shared" si="3"/>
        <v/>
      </c>
      <c r="AD117" s="10"/>
    </row>
    <row r="118" spans="1:30" x14ac:dyDescent="0.3">
      <c r="A118" s="2" t="s">
        <v>890</v>
      </c>
      <c r="B118" s="2" t="s">
        <v>1324</v>
      </c>
      <c r="C118" s="2">
        <v>0</v>
      </c>
      <c r="D118" s="2"/>
      <c r="E118" s="2" t="s">
        <v>891</v>
      </c>
      <c r="F118" s="2"/>
      <c r="G118" s="2" t="s">
        <v>892</v>
      </c>
      <c r="H118" s="2"/>
      <c r="I118" s="2">
        <v>32</v>
      </c>
      <c r="J118" s="2"/>
      <c r="K118" s="2" t="s">
        <v>1138</v>
      </c>
      <c r="L118" s="2" t="s">
        <v>893</v>
      </c>
      <c r="M118" s="2" t="s">
        <v>388</v>
      </c>
      <c r="N118" s="2"/>
      <c r="O118" s="2">
        <v>90.21</v>
      </c>
      <c r="P118" s="2">
        <v>39</v>
      </c>
      <c r="Q118" s="2"/>
      <c r="R118" s="2"/>
      <c r="S118" s="2"/>
      <c r="T118" s="2"/>
      <c r="U118" s="2"/>
      <c r="V118" s="2">
        <v>0</v>
      </c>
      <c r="W118" s="2" t="b">
        <v>0</v>
      </c>
      <c r="X118" s="4" t="s">
        <v>894</v>
      </c>
      <c r="Y118" s="2"/>
      <c r="Z118" s="2"/>
      <c r="AA118" s="2"/>
      <c r="AC118" s="5" t="str">
        <f t="shared" si="3"/>
        <v/>
      </c>
      <c r="AD118" s="10"/>
    </row>
    <row r="119" spans="1:30" x14ac:dyDescent="0.3">
      <c r="A119" s="7" t="s">
        <v>895</v>
      </c>
      <c r="B119" s="7" t="s">
        <v>1325</v>
      </c>
      <c r="C119" s="7">
        <v>1</v>
      </c>
      <c r="D119" s="7" t="s">
        <v>1326</v>
      </c>
      <c r="E119" s="7" t="s">
        <v>762</v>
      </c>
      <c r="F119" s="7" t="s">
        <v>762</v>
      </c>
      <c r="G119" s="7" t="s">
        <v>896</v>
      </c>
      <c r="H119" s="7" t="s">
        <v>897</v>
      </c>
      <c r="I119" s="7">
        <v>48611000</v>
      </c>
      <c r="J119" s="7">
        <v>48000000</v>
      </c>
      <c r="K119" s="7" t="s">
        <v>1134</v>
      </c>
      <c r="L119" s="7" t="s">
        <v>898</v>
      </c>
      <c r="M119" s="7" t="s">
        <v>899</v>
      </c>
      <c r="N119" s="7" t="s">
        <v>642</v>
      </c>
      <c r="O119" s="7">
        <v>12.98</v>
      </c>
      <c r="P119" s="7">
        <v>12</v>
      </c>
      <c r="Q119" s="7">
        <v>0.52749999999999997</v>
      </c>
      <c r="R119" s="7">
        <v>0.35949999999999999</v>
      </c>
      <c r="S119" s="7">
        <v>0.2</v>
      </c>
      <c r="T119" s="7">
        <v>0.91859999999999997</v>
      </c>
      <c r="U119" s="7">
        <v>7.3899999999999993E-2</v>
      </c>
      <c r="V119" s="7">
        <v>7</v>
      </c>
      <c r="W119" s="7" t="b">
        <v>0</v>
      </c>
      <c r="X119" s="9" t="s">
        <v>900</v>
      </c>
      <c r="Y119" s="9" t="s">
        <v>901</v>
      </c>
      <c r="Z119" s="7"/>
      <c r="AA119" s="7"/>
      <c r="AC119" s="5" t="str">
        <f t="shared" si="3"/>
        <v/>
      </c>
      <c r="AD119" s="10"/>
    </row>
    <row r="120" spans="1:30" x14ac:dyDescent="0.3">
      <c r="A120" s="2" t="s">
        <v>902</v>
      </c>
      <c r="B120" s="2" t="s">
        <v>1327</v>
      </c>
      <c r="C120" s="2">
        <v>0</v>
      </c>
      <c r="D120" s="2"/>
      <c r="E120" s="2" t="s">
        <v>903</v>
      </c>
      <c r="F120" s="2"/>
      <c r="G120" s="2" t="s">
        <v>904</v>
      </c>
      <c r="H120" s="2"/>
      <c r="I120" s="2">
        <v>44</v>
      </c>
      <c r="J120" s="2"/>
      <c r="K120" s="2" t="s">
        <v>1144</v>
      </c>
      <c r="L120" s="2" t="s">
        <v>905</v>
      </c>
      <c r="M120" s="2" t="s">
        <v>906</v>
      </c>
      <c r="N120" s="2"/>
      <c r="O120" s="2">
        <v>80.88</v>
      </c>
      <c r="P120" s="2">
        <v>3</v>
      </c>
      <c r="Q120" s="2"/>
      <c r="R120" s="2"/>
      <c r="S120" s="2"/>
      <c r="T120" s="2"/>
      <c r="U120" s="2"/>
      <c r="V120" s="2">
        <v>0</v>
      </c>
      <c r="W120" s="2" t="b">
        <v>0</v>
      </c>
      <c r="X120" s="4" t="s">
        <v>907</v>
      </c>
      <c r="Y120" s="2"/>
      <c r="Z120" s="2" t="s">
        <v>908</v>
      </c>
      <c r="AA120" s="2" t="s">
        <v>909</v>
      </c>
      <c r="AC120" s="5" t="str">
        <f t="shared" si="3"/>
        <v/>
      </c>
      <c r="AD120" s="10"/>
    </row>
    <row r="121" spans="1:30" x14ac:dyDescent="0.3">
      <c r="A121" s="2" t="s">
        <v>910</v>
      </c>
      <c r="B121" s="2" t="s">
        <v>1328</v>
      </c>
      <c r="C121" s="2">
        <v>0</v>
      </c>
      <c r="D121" s="2"/>
      <c r="E121" s="2" t="s">
        <v>394</v>
      </c>
      <c r="F121" s="2"/>
      <c r="G121" s="2" t="s">
        <v>911</v>
      </c>
      <c r="H121" s="2"/>
      <c r="I121" s="2">
        <v>72</v>
      </c>
      <c r="J121" s="2"/>
      <c r="K121" s="2" t="s">
        <v>1126</v>
      </c>
      <c r="L121" s="2" t="s">
        <v>912</v>
      </c>
      <c r="M121" s="2" t="s">
        <v>913</v>
      </c>
      <c r="N121" s="2"/>
      <c r="O121" s="2">
        <v>79.010000000000005</v>
      </c>
      <c r="P121" s="2">
        <v>36</v>
      </c>
      <c r="Q121" s="2"/>
      <c r="R121" s="2"/>
      <c r="S121" s="2"/>
      <c r="T121" s="2"/>
      <c r="U121" s="2"/>
      <c r="V121" s="2">
        <v>0</v>
      </c>
      <c r="W121" s="2" t="b">
        <v>0</v>
      </c>
      <c r="X121" s="4" t="s">
        <v>914</v>
      </c>
      <c r="Y121" s="2"/>
      <c r="Z121" s="2"/>
      <c r="AA121" s="2"/>
      <c r="AC121" s="5" t="str">
        <f t="shared" si="3"/>
        <v/>
      </c>
      <c r="AD121" s="10"/>
    </row>
    <row r="122" spans="1:30" x14ac:dyDescent="0.3">
      <c r="A122" s="2" t="s">
        <v>915</v>
      </c>
      <c r="B122" s="2" t="s">
        <v>1329</v>
      </c>
      <c r="C122" s="2">
        <v>0</v>
      </c>
      <c r="D122" s="2"/>
      <c r="E122" s="2" t="s">
        <v>916</v>
      </c>
      <c r="F122" s="2"/>
      <c r="G122" s="2" t="s">
        <v>917</v>
      </c>
      <c r="H122" s="2"/>
      <c r="I122" s="2">
        <v>48</v>
      </c>
      <c r="J122" s="2"/>
      <c r="K122" s="2" t="s">
        <v>1134</v>
      </c>
      <c r="L122" s="2" t="s">
        <v>918</v>
      </c>
      <c r="M122" s="2" t="s">
        <v>919</v>
      </c>
      <c r="N122" s="2"/>
      <c r="O122" s="2">
        <v>116.82</v>
      </c>
      <c r="P122" s="2">
        <v>48</v>
      </c>
      <c r="Q122" s="2"/>
      <c r="R122" s="2"/>
      <c r="S122" s="2"/>
      <c r="T122" s="2"/>
      <c r="U122" s="2"/>
      <c r="V122" s="2">
        <v>0</v>
      </c>
      <c r="W122" s="2" t="b">
        <v>0</v>
      </c>
      <c r="X122" s="4" t="s">
        <v>920</v>
      </c>
      <c r="Y122" s="2"/>
      <c r="Z122" s="2"/>
      <c r="AA122" s="2"/>
      <c r="AC122" s="5" t="str">
        <f t="shared" si="3"/>
        <v/>
      </c>
      <c r="AD122" s="10"/>
    </row>
    <row r="123" spans="1:30" x14ac:dyDescent="0.3">
      <c r="A123" s="7" t="s">
        <v>921</v>
      </c>
      <c r="B123" s="7" t="s">
        <v>1330</v>
      </c>
      <c r="C123" s="7">
        <v>1</v>
      </c>
      <c r="D123" s="7" t="s">
        <v>1331</v>
      </c>
      <c r="E123" s="7" t="s">
        <v>922</v>
      </c>
      <c r="F123" s="7" t="s">
        <v>922</v>
      </c>
      <c r="G123" s="7" t="s">
        <v>923</v>
      </c>
      <c r="H123" s="7" t="s">
        <v>924</v>
      </c>
      <c r="I123" s="7">
        <v>45000000</v>
      </c>
      <c r="J123" s="7">
        <v>45000000</v>
      </c>
      <c r="K123" s="7" t="s">
        <v>1144</v>
      </c>
      <c r="L123" s="7" t="s">
        <v>925</v>
      </c>
      <c r="M123" s="7" t="s">
        <v>926</v>
      </c>
      <c r="N123" s="7" t="s">
        <v>927</v>
      </c>
      <c r="O123" s="7">
        <v>6.24</v>
      </c>
      <c r="P123" s="7">
        <v>18</v>
      </c>
      <c r="Q123" s="7">
        <v>0.58020000000000005</v>
      </c>
      <c r="R123" s="7">
        <v>0.94059999999999999</v>
      </c>
      <c r="S123" s="7">
        <v>0.2</v>
      </c>
      <c r="T123" s="7">
        <v>2.01E-2</v>
      </c>
      <c r="U123" s="7"/>
      <c r="V123" s="7">
        <v>1</v>
      </c>
      <c r="W123" s="7" t="b">
        <v>0</v>
      </c>
      <c r="X123" s="9" t="s">
        <v>928</v>
      </c>
      <c r="Y123" s="9" t="s">
        <v>929</v>
      </c>
      <c r="Z123" s="7"/>
      <c r="AA123" s="7"/>
      <c r="AC123" s="5" t="str">
        <f t="shared" si="3"/>
        <v/>
      </c>
      <c r="AD123" s="10"/>
    </row>
    <row r="124" spans="1:30" x14ac:dyDescent="0.3">
      <c r="A124" s="2" t="s">
        <v>930</v>
      </c>
      <c r="B124" s="2" t="s">
        <v>1219</v>
      </c>
      <c r="C124" s="2">
        <v>0</v>
      </c>
      <c r="D124" s="2"/>
      <c r="E124" s="2" t="s">
        <v>423</v>
      </c>
      <c r="F124" s="2"/>
      <c r="G124" s="2" t="s">
        <v>425</v>
      </c>
      <c r="H124" s="2"/>
      <c r="I124" s="2">
        <v>72</v>
      </c>
      <c r="J124" s="2"/>
      <c r="K124" s="2" t="s">
        <v>1126</v>
      </c>
      <c r="L124" s="2" t="s">
        <v>428</v>
      </c>
      <c r="M124" s="2" t="s">
        <v>265</v>
      </c>
      <c r="N124" s="2"/>
      <c r="O124" s="2">
        <v>78.25</v>
      </c>
      <c r="P124" s="2">
        <v>12</v>
      </c>
      <c r="Q124" s="2"/>
      <c r="R124" s="2"/>
      <c r="S124" s="2"/>
      <c r="T124" s="2"/>
      <c r="U124" s="2"/>
      <c r="V124" s="2">
        <v>0</v>
      </c>
      <c r="W124" s="2" t="b">
        <v>0</v>
      </c>
      <c r="X124" s="4" t="s">
        <v>430</v>
      </c>
      <c r="Y124" s="2"/>
      <c r="Z124" s="2" t="s">
        <v>931</v>
      </c>
      <c r="AA124" s="2" t="s">
        <v>932</v>
      </c>
      <c r="AC124" s="5" t="str">
        <f t="shared" si="3"/>
        <v/>
      </c>
      <c r="AD124" s="10"/>
    </row>
    <row r="125" spans="1:30" x14ac:dyDescent="0.3">
      <c r="A125" s="2" t="s">
        <v>933</v>
      </c>
      <c r="B125" s="2" t="s">
        <v>1332</v>
      </c>
      <c r="C125" s="2">
        <v>0</v>
      </c>
      <c r="D125" s="2"/>
      <c r="E125" s="2" t="s">
        <v>934</v>
      </c>
      <c r="F125" s="2"/>
      <c r="G125" s="2" t="s">
        <v>935</v>
      </c>
      <c r="H125" s="2"/>
      <c r="I125" s="2">
        <v>35</v>
      </c>
      <c r="J125" s="2"/>
      <c r="K125" s="2" t="s">
        <v>1129</v>
      </c>
      <c r="L125" s="2" t="s">
        <v>936</v>
      </c>
      <c r="M125" s="2" t="s">
        <v>937</v>
      </c>
      <c r="N125" s="2"/>
      <c r="O125" s="2">
        <v>98.36</v>
      </c>
      <c r="P125" s="2">
        <v>36</v>
      </c>
      <c r="Q125" s="2"/>
      <c r="R125" s="2"/>
      <c r="S125" s="2"/>
      <c r="T125" s="2"/>
      <c r="U125" s="2"/>
      <c r="V125" s="2">
        <v>0</v>
      </c>
      <c r="W125" s="2" t="b">
        <v>0</v>
      </c>
      <c r="X125" s="4" t="s">
        <v>938</v>
      </c>
      <c r="Y125" s="2"/>
      <c r="Z125" s="2" t="s">
        <v>939</v>
      </c>
      <c r="AA125" s="2" t="s">
        <v>940</v>
      </c>
      <c r="AC125" s="5" t="str">
        <f t="shared" si="3"/>
        <v/>
      </c>
      <c r="AD125" s="10"/>
    </row>
    <row r="126" spans="1:30" x14ac:dyDescent="0.3">
      <c r="A126" s="7" t="s">
        <v>941</v>
      </c>
      <c r="B126" s="7" t="s">
        <v>1333</v>
      </c>
      <c r="C126" s="7">
        <v>1</v>
      </c>
      <c r="D126" s="7" t="s">
        <v>1334</v>
      </c>
      <c r="E126" s="7" t="s">
        <v>903</v>
      </c>
      <c r="F126" s="7" t="s">
        <v>903</v>
      </c>
      <c r="G126" s="7" t="s">
        <v>942</v>
      </c>
      <c r="H126" s="7" t="s">
        <v>943</v>
      </c>
      <c r="I126" s="7">
        <v>50312310</v>
      </c>
      <c r="J126" s="7">
        <v>72413000</v>
      </c>
      <c r="K126" s="7" t="s">
        <v>1129</v>
      </c>
      <c r="L126" s="7" t="s">
        <v>944</v>
      </c>
      <c r="M126" s="7" t="s">
        <v>945</v>
      </c>
      <c r="N126" s="7" t="s">
        <v>758</v>
      </c>
      <c r="O126" s="7">
        <v>38.86</v>
      </c>
      <c r="P126" s="7">
        <v>48</v>
      </c>
      <c r="Q126" s="7">
        <v>0.33</v>
      </c>
      <c r="R126" s="7">
        <v>0.3306</v>
      </c>
      <c r="S126" s="7">
        <v>0</v>
      </c>
      <c r="T126" s="7">
        <v>0.23860000000000001</v>
      </c>
      <c r="U126" s="7"/>
      <c r="V126" s="7">
        <v>1</v>
      </c>
      <c r="W126" s="7" t="b">
        <v>0</v>
      </c>
      <c r="X126" s="9" t="s">
        <v>908</v>
      </c>
      <c r="Y126" s="9" t="s">
        <v>946</v>
      </c>
      <c r="Z126" s="7"/>
      <c r="AA126" s="7"/>
      <c r="AC126" s="5" t="str">
        <f t="shared" si="3"/>
        <v/>
      </c>
      <c r="AD126" s="10"/>
    </row>
    <row r="127" spans="1:30" x14ac:dyDescent="0.3">
      <c r="A127" s="2" t="s">
        <v>947</v>
      </c>
      <c r="B127" s="2" t="s">
        <v>1335</v>
      </c>
      <c r="C127" s="2">
        <v>0</v>
      </c>
      <c r="D127" s="2"/>
      <c r="E127" s="2" t="s">
        <v>948</v>
      </c>
      <c r="F127" s="2"/>
      <c r="G127" s="2" t="s">
        <v>949</v>
      </c>
      <c r="H127" s="2"/>
      <c r="I127" s="2">
        <v>72</v>
      </c>
      <c r="J127" s="2"/>
      <c r="K127" s="2" t="s">
        <v>1126</v>
      </c>
      <c r="L127" s="2" t="s">
        <v>950</v>
      </c>
      <c r="M127" s="2" t="s">
        <v>951</v>
      </c>
      <c r="N127" s="2"/>
      <c r="O127" s="2">
        <v>25.1</v>
      </c>
      <c r="P127" s="2">
        <v>12</v>
      </c>
      <c r="Q127" s="2"/>
      <c r="R127" s="2"/>
      <c r="S127" s="2"/>
      <c r="T127" s="2"/>
      <c r="U127" s="2"/>
      <c r="V127" s="2">
        <v>0</v>
      </c>
      <c r="W127" s="2" t="b">
        <v>0</v>
      </c>
      <c r="X127" s="4" t="s">
        <v>952</v>
      </c>
      <c r="Y127" s="2"/>
      <c r="Z127" s="2"/>
      <c r="AA127" s="2"/>
      <c r="AC127" s="5" t="str">
        <f t="shared" si="3"/>
        <v/>
      </c>
      <c r="AD127" s="10"/>
    </row>
    <row r="128" spans="1:30" x14ac:dyDescent="0.3">
      <c r="A128" s="7" t="s">
        <v>953</v>
      </c>
      <c r="B128" s="7" t="s">
        <v>1336</v>
      </c>
      <c r="C128" s="7">
        <v>1</v>
      </c>
      <c r="D128" s="7" t="s">
        <v>1221</v>
      </c>
      <c r="E128" s="7" t="s">
        <v>41</v>
      </c>
      <c r="F128" s="7" t="s">
        <v>41</v>
      </c>
      <c r="G128" s="7" t="s">
        <v>954</v>
      </c>
      <c r="H128" s="7" t="s">
        <v>438</v>
      </c>
      <c r="I128" s="7">
        <v>72000000</v>
      </c>
      <c r="J128" s="7">
        <v>72267000</v>
      </c>
      <c r="K128" s="7" t="s">
        <v>1126</v>
      </c>
      <c r="L128" s="7" t="s">
        <v>955</v>
      </c>
      <c r="M128" s="7" t="s">
        <v>956</v>
      </c>
      <c r="N128" s="7" t="s">
        <v>439</v>
      </c>
      <c r="O128" s="7">
        <v>7.42</v>
      </c>
      <c r="P128" s="7">
        <v>12</v>
      </c>
      <c r="Q128" s="7">
        <v>0.49559999999999998</v>
      </c>
      <c r="R128" s="7">
        <v>0.42959999999999998</v>
      </c>
      <c r="S128" s="7">
        <v>0.2</v>
      </c>
      <c r="T128" s="7">
        <v>0.61870000000000003</v>
      </c>
      <c r="U128" s="7">
        <v>1.1000000000000001E-3</v>
      </c>
      <c r="V128" s="7">
        <v>6</v>
      </c>
      <c r="W128" s="7" t="b">
        <v>0</v>
      </c>
      <c r="X128" s="9" t="s">
        <v>957</v>
      </c>
      <c r="Y128" s="9" t="s">
        <v>441</v>
      </c>
      <c r="Z128" s="7"/>
      <c r="AA128" s="7"/>
      <c r="AC128" s="5" t="str">
        <f t="shared" si="3"/>
        <v/>
      </c>
      <c r="AD128" s="10"/>
    </row>
    <row r="129" spans="1:30" x14ac:dyDescent="0.3">
      <c r="A129" s="7" t="s">
        <v>958</v>
      </c>
      <c r="B129" s="7" t="s">
        <v>1337</v>
      </c>
      <c r="C129" s="7">
        <v>1</v>
      </c>
      <c r="D129" s="7" t="s">
        <v>1338</v>
      </c>
      <c r="E129" s="7" t="s">
        <v>169</v>
      </c>
      <c r="F129" s="7" t="s">
        <v>169</v>
      </c>
      <c r="G129" s="7" t="s">
        <v>959</v>
      </c>
      <c r="H129" s="7" t="s">
        <v>960</v>
      </c>
      <c r="I129" s="7">
        <v>50324100</v>
      </c>
      <c r="J129" s="7">
        <v>48310000</v>
      </c>
      <c r="K129" s="7" t="s">
        <v>1138</v>
      </c>
      <c r="L129" s="7" t="s">
        <v>961</v>
      </c>
      <c r="M129" s="7" t="s">
        <v>962</v>
      </c>
      <c r="N129" s="7" t="s">
        <v>963</v>
      </c>
      <c r="O129" s="7">
        <v>12.94</v>
      </c>
      <c r="P129" s="7">
        <v>12</v>
      </c>
      <c r="Q129" s="7">
        <v>0.46039999999999998</v>
      </c>
      <c r="R129" s="7">
        <v>0.31530000000000002</v>
      </c>
      <c r="S129" s="7">
        <v>0</v>
      </c>
      <c r="T129" s="7">
        <v>0.9214</v>
      </c>
      <c r="U129" s="7">
        <v>1.61E-2</v>
      </c>
      <c r="V129" s="7">
        <v>11</v>
      </c>
      <c r="W129" s="7" t="b">
        <v>0</v>
      </c>
      <c r="X129" s="9" t="s">
        <v>964</v>
      </c>
      <c r="Y129" s="9" t="s">
        <v>965</v>
      </c>
      <c r="Z129" s="7"/>
      <c r="AA129" s="7"/>
      <c r="AC129" s="5" t="str">
        <f t="shared" si="3"/>
        <v/>
      </c>
      <c r="AD129" s="10"/>
    </row>
    <row r="130" spans="1:30" x14ac:dyDescent="0.3">
      <c r="A130" s="7" t="s">
        <v>966</v>
      </c>
      <c r="B130" s="7" t="s">
        <v>1339</v>
      </c>
      <c r="C130" s="7">
        <v>1</v>
      </c>
      <c r="D130" s="7" t="s">
        <v>1340</v>
      </c>
      <c r="E130" s="7" t="s">
        <v>343</v>
      </c>
      <c r="F130" s="7" t="s">
        <v>343</v>
      </c>
      <c r="G130" s="7" t="s">
        <v>967</v>
      </c>
      <c r="H130" s="7" t="s">
        <v>968</v>
      </c>
      <c r="I130" s="7">
        <v>39294100</v>
      </c>
      <c r="J130" s="7">
        <v>72400000</v>
      </c>
      <c r="K130" s="7" t="s">
        <v>1129</v>
      </c>
      <c r="L130" s="7" t="s">
        <v>969</v>
      </c>
      <c r="M130" s="7" t="s">
        <v>832</v>
      </c>
      <c r="N130" s="7" t="s">
        <v>970</v>
      </c>
      <c r="O130" s="7">
        <v>11.33</v>
      </c>
      <c r="P130" s="7">
        <v>12</v>
      </c>
      <c r="Q130" s="7">
        <v>0.46079999999999999</v>
      </c>
      <c r="R130" s="7">
        <v>0.30459999999999998</v>
      </c>
      <c r="S130" s="7">
        <v>0</v>
      </c>
      <c r="T130" s="7">
        <v>0.94450000000000001</v>
      </c>
      <c r="U130" s="7">
        <v>1.78E-2</v>
      </c>
      <c r="V130" s="7">
        <v>6</v>
      </c>
      <c r="W130" s="7" t="b">
        <v>0</v>
      </c>
      <c r="X130" s="9" t="s">
        <v>971</v>
      </c>
      <c r="Y130" s="9" t="s">
        <v>972</v>
      </c>
      <c r="Z130" s="7"/>
      <c r="AA130" s="7"/>
      <c r="AC130" s="5" t="str">
        <f t="shared" ref="AC130:AC151" si="4">IF(AB130="credible_renewal","true_positive",IF(AB130="not_credible_false_positive","false_positive",IF(AB130="plausible_censored","true_negative_or_plausible_censored",IF(AB130="missed_renewal_false_negative","false_negative",IF(OR(AB130="doubtful_but_possible",AB130="impossible_to_judge"),"not_applicable","")))))</f>
        <v/>
      </c>
      <c r="AD130" s="10"/>
    </row>
    <row r="131" spans="1:30" x14ac:dyDescent="0.3">
      <c r="A131" s="2" t="s">
        <v>973</v>
      </c>
      <c r="B131" s="2" t="s">
        <v>1341</v>
      </c>
      <c r="C131" s="2">
        <v>0</v>
      </c>
      <c r="D131" s="2"/>
      <c r="E131" s="2" t="s">
        <v>974</v>
      </c>
      <c r="F131" s="2"/>
      <c r="G131" s="2" t="s">
        <v>975</v>
      </c>
      <c r="H131" s="2"/>
      <c r="I131" s="2">
        <v>72</v>
      </c>
      <c r="J131" s="2"/>
      <c r="K131" s="2" t="s">
        <v>1126</v>
      </c>
      <c r="L131" s="2" t="s">
        <v>976</v>
      </c>
      <c r="M131" s="2" t="s">
        <v>977</v>
      </c>
      <c r="N131" s="2"/>
      <c r="O131" s="2">
        <v>103.06</v>
      </c>
      <c r="P131" s="2">
        <v>72</v>
      </c>
      <c r="Q131" s="2"/>
      <c r="R131" s="2"/>
      <c r="S131" s="2"/>
      <c r="T131" s="2"/>
      <c r="U131" s="2"/>
      <c r="V131" s="2">
        <v>0</v>
      </c>
      <c r="W131" s="2" t="b">
        <v>0</v>
      </c>
      <c r="X131" s="4" t="s">
        <v>978</v>
      </c>
      <c r="Y131" s="2"/>
      <c r="Z131" s="2"/>
      <c r="AA131" s="2"/>
      <c r="AC131" s="5" t="str">
        <f t="shared" si="4"/>
        <v/>
      </c>
      <c r="AD131" s="10"/>
    </row>
    <row r="132" spans="1:30" x14ac:dyDescent="0.3">
      <c r="A132" s="7" t="s">
        <v>979</v>
      </c>
      <c r="B132" s="7" t="s">
        <v>1342</v>
      </c>
      <c r="C132" s="7">
        <v>1</v>
      </c>
      <c r="D132" s="7" t="s">
        <v>1343</v>
      </c>
      <c r="E132" s="7" t="s">
        <v>32</v>
      </c>
      <c r="F132" s="7" t="s">
        <v>32</v>
      </c>
      <c r="G132" s="7" t="s">
        <v>980</v>
      </c>
      <c r="H132" s="7" t="s">
        <v>981</v>
      </c>
      <c r="I132" s="7">
        <v>72250000</v>
      </c>
      <c r="J132" s="7">
        <v>72221000</v>
      </c>
      <c r="K132" s="7" t="s">
        <v>1129</v>
      </c>
      <c r="L132" s="7" t="s">
        <v>982</v>
      </c>
      <c r="M132" s="7" t="s">
        <v>983</v>
      </c>
      <c r="N132" s="7" t="s">
        <v>366</v>
      </c>
      <c r="O132" s="7">
        <v>23.59</v>
      </c>
      <c r="P132" s="7">
        <v>24</v>
      </c>
      <c r="Q132" s="7">
        <v>0.60319999999999996</v>
      </c>
      <c r="R132" s="7">
        <v>0.40010000000000001</v>
      </c>
      <c r="S132" s="7">
        <v>0.4</v>
      </c>
      <c r="T132" s="7">
        <v>0.96560000000000001</v>
      </c>
      <c r="U132" s="7">
        <v>5.5800000000000002E-2</v>
      </c>
      <c r="V132" s="7">
        <v>17</v>
      </c>
      <c r="W132" s="7" t="b">
        <v>0</v>
      </c>
      <c r="X132" s="9" t="s">
        <v>984</v>
      </c>
      <c r="Y132" s="9" t="s">
        <v>985</v>
      </c>
      <c r="Z132" s="7"/>
      <c r="AA132" s="7"/>
      <c r="AC132" s="5" t="str">
        <f t="shared" si="4"/>
        <v/>
      </c>
      <c r="AD132" s="10"/>
    </row>
    <row r="133" spans="1:30" x14ac:dyDescent="0.3">
      <c r="A133" s="7" t="s">
        <v>986</v>
      </c>
      <c r="B133" s="7" t="s">
        <v>1344</v>
      </c>
      <c r="C133" s="7">
        <v>1</v>
      </c>
      <c r="D133" s="7" t="s">
        <v>1345</v>
      </c>
      <c r="E133" s="7" t="s">
        <v>987</v>
      </c>
      <c r="F133" s="7" t="s">
        <v>987</v>
      </c>
      <c r="G133" s="7" t="s">
        <v>988</v>
      </c>
      <c r="H133" s="7" t="s">
        <v>989</v>
      </c>
      <c r="I133" s="7">
        <v>72000000</v>
      </c>
      <c r="J133" s="7">
        <v>72413000</v>
      </c>
      <c r="K133" s="7" t="s">
        <v>1126</v>
      </c>
      <c r="L133" s="7" t="s">
        <v>990</v>
      </c>
      <c r="M133" s="7" t="s">
        <v>991</v>
      </c>
      <c r="N133" s="7" t="s">
        <v>992</v>
      </c>
      <c r="O133" s="7">
        <v>11.33</v>
      </c>
      <c r="P133" s="7">
        <v>12</v>
      </c>
      <c r="Q133" s="7">
        <v>0.54500000000000004</v>
      </c>
      <c r="R133" s="7">
        <v>0.39029999999999998</v>
      </c>
      <c r="S133" s="7">
        <v>0.2</v>
      </c>
      <c r="T133" s="7">
        <v>0.94450000000000001</v>
      </c>
      <c r="U133" s="7">
        <v>0.16189999999999999</v>
      </c>
      <c r="V133" s="7">
        <v>2</v>
      </c>
      <c r="W133" s="7" t="b">
        <v>0</v>
      </c>
      <c r="X133" s="9" t="s">
        <v>993</v>
      </c>
      <c r="Y133" s="9" t="s">
        <v>994</v>
      </c>
      <c r="Z133" s="7"/>
      <c r="AA133" s="7"/>
      <c r="AC133" s="5" t="str">
        <f t="shared" si="4"/>
        <v/>
      </c>
      <c r="AD133" s="10"/>
    </row>
    <row r="134" spans="1:30" x14ac:dyDescent="0.3">
      <c r="A134" s="7" t="s">
        <v>995</v>
      </c>
      <c r="B134" s="7" t="s">
        <v>1346</v>
      </c>
      <c r="C134" s="7">
        <v>1</v>
      </c>
      <c r="D134" s="7" t="s">
        <v>1347</v>
      </c>
      <c r="E134" s="7" t="s">
        <v>62</v>
      </c>
      <c r="F134" s="7" t="s">
        <v>63</v>
      </c>
      <c r="G134" s="7" t="s">
        <v>996</v>
      </c>
      <c r="H134" s="7" t="s">
        <v>997</v>
      </c>
      <c r="I134" s="7">
        <v>32584000</v>
      </c>
      <c r="J134" s="7">
        <v>32322000</v>
      </c>
      <c r="K134" s="7" t="s">
        <v>1138</v>
      </c>
      <c r="L134" s="7" t="s">
        <v>337</v>
      </c>
      <c r="M134" s="7" t="s">
        <v>998</v>
      </c>
      <c r="N134" s="7" t="s">
        <v>999</v>
      </c>
      <c r="O134" s="7">
        <v>46.62</v>
      </c>
      <c r="P134" s="7">
        <v>48</v>
      </c>
      <c r="Q134" s="7">
        <v>0.56279999999999997</v>
      </c>
      <c r="R134" s="7">
        <v>0.46460000000000001</v>
      </c>
      <c r="S134" s="7">
        <v>0.2</v>
      </c>
      <c r="T134" s="7">
        <v>0.88470000000000004</v>
      </c>
      <c r="U134" s="7">
        <v>2.6800000000000001E-2</v>
      </c>
      <c r="V134" s="7">
        <v>7</v>
      </c>
      <c r="W134" s="7" t="b">
        <v>0</v>
      </c>
      <c r="X134" s="9" t="s">
        <v>1000</v>
      </c>
      <c r="Y134" s="9" t="s">
        <v>1001</v>
      </c>
      <c r="Z134" s="7"/>
      <c r="AA134" s="7"/>
      <c r="AC134" s="5" t="str">
        <f t="shared" si="4"/>
        <v/>
      </c>
      <c r="AD134" s="10"/>
    </row>
    <row r="135" spans="1:30" x14ac:dyDescent="0.3">
      <c r="A135" s="7" t="s">
        <v>1002</v>
      </c>
      <c r="B135" s="7" t="s">
        <v>1348</v>
      </c>
      <c r="C135" s="7">
        <v>1</v>
      </c>
      <c r="D135" s="7" t="s">
        <v>1349</v>
      </c>
      <c r="E135" s="7" t="s">
        <v>192</v>
      </c>
      <c r="F135" s="7" t="s">
        <v>192</v>
      </c>
      <c r="G135" s="7" t="s">
        <v>1003</v>
      </c>
      <c r="H135" s="7" t="s">
        <v>1004</v>
      </c>
      <c r="I135" s="7">
        <v>48813200</v>
      </c>
      <c r="J135" s="7">
        <v>72200000</v>
      </c>
      <c r="K135" s="7" t="s">
        <v>1134</v>
      </c>
      <c r="L135" s="7" t="s">
        <v>1005</v>
      </c>
      <c r="M135" s="7" t="s">
        <v>1006</v>
      </c>
      <c r="N135" s="7" t="s">
        <v>1007</v>
      </c>
      <c r="O135" s="7">
        <v>11.14</v>
      </c>
      <c r="P135" s="7">
        <v>12</v>
      </c>
      <c r="Q135" s="7">
        <v>0.5363</v>
      </c>
      <c r="R135" s="7">
        <v>0.50170000000000003</v>
      </c>
      <c r="S135" s="7">
        <v>0</v>
      </c>
      <c r="T135" s="7">
        <v>0.92810000000000004</v>
      </c>
      <c r="U135" s="7">
        <v>2.58E-2</v>
      </c>
      <c r="V135" s="7">
        <v>6</v>
      </c>
      <c r="W135" s="7" t="b">
        <v>0</v>
      </c>
      <c r="X135" s="9" t="s">
        <v>1008</v>
      </c>
      <c r="Y135" s="9" t="s">
        <v>1009</v>
      </c>
      <c r="Z135" s="7"/>
      <c r="AA135" s="7"/>
      <c r="AC135" s="5" t="str">
        <f t="shared" si="4"/>
        <v/>
      </c>
      <c r="AD135" s="10"/>
    </row>
    <row r="136" spans="1:30" x14ac:dyDescent="0.3">
      <c r="A136" s="7" t="s">
        <v>1010</v>
      </c>
      <c r="B136" s="7" t="s">
        <v>1350</v>
      </c>
      <c r="C136" s="7">
        <v>1</v>
      </c>
      <c r="D136" s="7" t="s">
        <v>1351</v>
      </c>
      <c r="E136" s="7" t="s">
        <v>343</v>
      </c>
      <c r="F136" s="7" t="s">
        <v>343</v>
      </c>
      <c r="G136" s="7" t="s">
        <v>1011</v>
      </c>
      <c r="H136" s="7" t="s">
        <v>1012</v>
      </c>
      <c r="I136" s="7">
        <v>72267100</v>
      </c>
      <c r="J136" s="7">
        <v>72267000</v>
      </c>
      <c r="K136" s="7" t="s">
        <v>1126</v>
      </c>
      <c r="L136" s="7" t="s">
        <v>1013</v>
      </c>
      <c r="M136" s="7" t="s">
        <v>1014</v>
      </c>
      <c r="N136" s="7" t="s">
        <v>1015</v>
      </c>
      <c r="O136" s="7">
        <v>26.02</v>
      </c>
      <c r="P136" s="7">
        <v>24</v>
      </c>
      <c r="Q136" s="7">
        <v>0.86029999999999995</v>
      </c>
      <c r="R136" s="7">
        <v>0.8599</v>
      </c>
      <c r="S136" s="7">
        <v>0.8</v>
      </c>
      <c r="T136" s="7">
        <v>0.83179999999999998</v>
      </c>
      <c r="U136" s="7">
        <v>5.5100000000000003E-2</v>
      </c>
      <c r="V136" s="7">
        <v>6</v>
      </c>
      <c r="W136" s="7" t="b">
        <v>1</v>
      </c>
      <c r="X136" s="9" t="s">
        <v>1016</v>
      </c>
      <c r="Y136" s="9" t="s">
        <v>1017</v>
      </c>
      <c r="Z136" s="7"/>
      <c r="AA136" s="7"/>
      <c r="AC136" s="5" t="str">
        <f t="shared" si="4"/>
        <v/>
      </c>
      <c r="AD136" s="10"/>
    </row>
    <row r="137" spans="1:30" x14ac:dyDescent="0.3">
      <c r="A137" s="7" t="s">
        <v>1018</v>
      </c>
      <c r="B137" s="7" t="s">
        <v>1352</v>
      </c>
      <c r="C137" s="7">
        <v>1</v>
      </c>
      <c r="D137" s="7" t="s">
        <v>1353</v>
      </c>
      <c r="E137" s="7" t="s">
        <v>62</v>
      </c>
      <c r="F137" s="7" t="s">
        <v>1019</v>
      </c>
      <c r="G137" s="7" t="s">
        <v>1020</v>
      </c>
      <c r="H137" s="7" t="s">
        <v>1021</v>
      </c>
      <c r="I137" s="7">
        <v>35113200</v>
      </c>
      <c r="J137" s="7">
        <v>32320000</v>
      </c>
      <c r="K137" s="7" t="s">
        <v>1129</v>
      </c>
      <c r="L137" s="7" t="s">
        <v>485</v>
      </c>
      <c r="M137" s="7" t="s">
        <v>1022</v>
      </c>
      <c r="N137" s="7" t="s">
        <v>1023</v>
      </c>
      <c r="O137" s="7">
        <v>45.5</v>
      </c>
      <c r="P137" s="7">
        <v>48</v>
      </c>
      <c r="Q137" s="7">
        <v>0.39269999999999999</v>
      </c>
      <c r="R137" s="7">
        <v>0.2109</v>
      </c>
      <c r="S137" s="7">
        <v>0</v>
      </c>
      <c r="T137" s="7">
        <v>0.79159999999999997</v>
      </c>
      <c r="U137" s="7"/>
      <c r="V137" s="7">
        <v>1</v>
      </c>
      <c r="W137" s="7" t="b">
        <v>0</v>
      </c>
      <c r="X137" s="9" t="s">
        <v>1024</v>
      </c>
      <c r="Y137" s="9" t="s">
        <v>1025</v>
      </c>
      <c r="Z137" s="7"/>
      <c r="AA137" s="7"/>
      <c r="AC137" s="5" t="str">
        <f t="shared" si="4"/>
        <v/>
      </c>
      <c r="AD137" s="10"/>
    </row>
    <row r="138" spans="1:30" x14ac:dyDescent="0.3">
      <c r="A138" s="7" t="s">
        <v>1026</v>
      </c>
      <c r="B138" s="7" t="s">
        <v>1354</v>
      </c>
      <c r="C138" s="7">
        <v>1</v>
      </c>
      <c r="D138" s="7" t="s">
        <v>1355</v>
      </c>
      <c r="E138" s="7" t="s">
        <v>1027</v>
      </c>
      <c r="F138" s="7" t="s">
        <v>1027</v>
      </c>
      <c r="G138" s="7" t="s">
        <v>1028</v>
      </c>
      <c r="H138" s="7" t="s">
        <v>1029</v>
      </c>
      <c r="I138" s="7">
        <v>72268000</v>
      </c>
      <c r="J138" s="7">
        <v>72267000</v>
      </c>
      <c r="K138" s="7" t="s">
        <v>1126</v>
      </c>
      <c r="L138" s="7" t="s">
        <v>1005</v>
      </c>
      <c r="M138" s="7" t="s">
        <v>1006</v>
      </c>
      <c r="N138" s="7" t="s">
        <v>1030</v>
      </c>
      <c r="O138" s="7">
        <v>9.1300000000000008</v>
      </c>
      <c r="P138" s="7">
        <v>12</v>
      </c>
      <c r="Q138" s="7">
        <v>0.70389999999999997</v>
      </c>
      <c r="R138" s="7">
        <v>0.62909999999999999</v>
      </c>
      <c r="S138" s="7">
        <v>0.6</v>
      </c>
      <c r="T138" s="7">
        <v>0.7611</v>
      </c>
      <c r="U138" s="7">
        <v>5.9499999999999997E-2</v>
      </c>
      <c r="V138" s="7">
        <v>4</v>
      </c>
      <c r="W138" s="7" t="b">
        <v>1</v>
      </c>
      <c r="X138" s="9" t="s">
        <v>1031</v>
      </c>
      <c r="Y138" s="9" t="s">
        <v>1032</v>
      </c>
      <c r="Z138" s="7"/>
      <c r="AA138" s="7"/>
      <c r="AC138" s="5" t="str">
        <f t="shared" si="4"/>
        <v/>
      </c>
      <c r="AD138" s="10"/>
    </row>
    <row r="139" spans="1:30" x14ac:dyDescent="0.3">
      <c r="A139" s="2" t="s">
        <v>1033</v>
      </c>
      <c r="B139" s="2" t="s">
        <v>1299</v>
      </c>
      <c r="C139" s="2">
        <v>0</v>
      </c>
      <c r="D139" s="2"/>
      <c r="E139" s="2" t="s">
        <v>334</v>
      </c>
      <c r="F139" s="2"/>
      <c r="G139" s="2" t="s">
        <v>780</v>
      </c>
      <c r="H139" s="2"/>
      <c r="I139" s="2">
        <v>72</v>
      </c>
      <c r="J139" s="2"/>
      <c r="K139" s="2" t="s">
        <v>1248</v>
      </c>
      <c r="L139" s="2" t="s">
        <v>641</v>
      </c>
      <c r="M139" s="2" t="s">
        <v>1034</v>
      </c>
      <c r="N139" s="2"/>
      <c r="O139" s="2">
        <v>42.71</v>
      </c>
      <c r="P139" s="2">
        <v>12</v>
      </c>
      <c r="Q139" s="2"/>
      <c r="R139" s="2"/>
      <c r="S139" s="2"/>
      <c r="T139" s="2"/>
      <c r="U139" s="2"/>
      <c r="V139" s="2">
        <v>0</v>
      </c>
      <c r="W139" s="2" t="b">
        <v>0</v>
      </c>
      <c r="X139" s="4" t="s">
        <v>784</v>
      </c>
      <c r="Y139" s="2"/>
      <c r="Z139" s="2" t="s">
        <v>1035</v>
      </c>
      <c r="AA139" s="2" t="s">
        <v>1036</v>
      </c>
      <c r="AC139" s="5" t="str">
        <f t="shared" si="4"/>
        <v/>
      </c>
      <c r="AD139" s="10"/>
    </row>
    <row r="140" spans="1:30" x14ac:dyDescent="0.3">
      <c r="A140" s="2" t="s">
        <v>1037</v>
      </c>
      <c r="B140" s="2" t="s">
        <v>1356</v>
      </c>
      <c r="C140" s="2">
        <v>0</v>
      </c>
      <c r="D140" s="2"/>
      <c r="E140" s="2" t="s">
        <v>1038</v>
      </c>
      <c r="F140" s="2"/>
      <c r="G140" s="2" t="s">
        <v>1039</v>
      </c>
      <c r="H140" s="2"/>
      <c r="I140" s="2">
        <v>44</v>
      </c>
      <c r="J140" s="2"/>
      <c r="K140" s="2" t="s">
        <v>1190</v>
      </c>
      <c r="L140" s="2" t="s">
        <v>1040</v>
      </c>
      <c r="M140" s="2" t="s">
        <v>1041</v>
      </c>
      <c r="N140" s="2"/>
      <c r="O140" s="2">
        <v>73.290000000000006</v>
      </c>
      <c r="P140" s="2">
        <v>48</v>
      </c>
      <c r="Q140" s="2"/>
      <c r="R140" s="2"/>
      <c r="S140" s="2"/>
      <c r="T140" s="2"/>
      <c r="U140" s="2"/>
      <c r="V140" s="2">
        <v>0</v>
      </c>
      <c r="W140" s="2" t="b">
        <v>0</v>
      </c>
      <c r="X140" s="4" t="s">
        <v>1042</v>
      </c>
      <c r="Y140" s="2"/>
      <c r="Z140" s="2"/>
      <c r="AA140" s="2"/>
      <c r="AC140" s="5" t="str">
        <f t="shared" si="4"/>
        <v/>
      </c>
      <c r="AD140" s="10"/>
    </row>
    <row r="141" spans="1:30" x14ac:dyDescent="0.3">
      <c r="A141" s="7" t="s">
        <v>1043</v>
      </c>
      <c r="B141" s="7" t="s">
        <v>1357</v>
      </c>
      <c r="C141" s="7">
        <v>1</v>
      </c>
      <c r="D141" s="7" t="s">
        <v>1358</v>
      </c>
      <c r="E141" s="7" t="s">
        <v>169</v>
      </c>
      <c r="F141" s="7" t="s">
        <v>170</v>
      </c>
      <c r="G141" s="7" t="s">
        <v>1044</v>
      </c>
      <c r="H141" s="7" t="s">
        <v>1045</v>
      </c>
      <c r="I141" s="7">
        <v>72700000</v>
      </c>
      <c r="J141" s="7">
        <v>72700000</v>
      </c>
      <c r="K141" s="7" t="s">
        <v>1126</v>
      </c>
      <c r="L141" s="7" t="s">
        <v>1046</v>
      </c>
      <c r="M141" s="7" t="s">
        <v>1047</v>
      </c>
      <c r="N141" s="7" t="s">
        <v>1048</v>
      </c>
      <c r="O141" s="7">
        <v>48.62</v>
      </c>
      <c r="P141" s="7">
        <v>48</v>
      </c>
      <c r="Q141" s="7">
        <v>0.88849999999999996</v>
      </c>
      <c r="R141" s="7">
        <v>0.74709999999999999</v>
      </c>
      <c r="S141" s="7">
        <v>1</v>
      </c>
      <c r="T141" s="7">
        <v>0.94830000000000003</v>
      </c>
      <c r="U141" s="7">
        <v>0.46050000000000002</v>
      </c>
      <c r="V141" s="7">
        <v>4</v>
      </c>
      <c r="W141" s="7" t="b">
        <v>1</v>
      </c>
      <c r="X141" s="9" t="s">
        <v>1049</v>
      </c>
      <c r="Y141" s="9" t="s">
        <v>1050</v>
      </c>
      <c r="Z141" s="7"/>
      <c r="AA141" s="7"/>
      <c r="AC141" s="5" t="str">
        <f t="shared" si="4"/>
        <v/>
      </c>
      <c r="AD141" s="10"/>
    </row>
    <row r="142" spans="1:30" x14ac:dyDescent="0.3">
      <c r="A142" s="2" t="s">
        <v>1051</v>
      </c>
      <c r="B142" s="2" t="s">
        <v>1359</v>
      </c>
      <c r="C142" s="2">
        <v>0</v>
      </c>
      <c r="D142" s="2"/>
      <c r="E142" s="2" t="s">
        <v>1052</v>
      </c>
      <c r="F142" s="2"/>
      <c r="G142" s="2" t="s">
        <v>1053</v>
      </c>
      <c r="H142" s="2"/>
      <c r="I142" s="2">
        <v>45</v>
      </c>
      <c r="J142" s="2"/>
      <c r="K142" s="2" t="s">
        <v>1144</v>
      </c>
      <c r="L142" s="2" t="s">
        <v>1054</v>
      </c>
      <c r="M142" s="2" t="s">
        <v>1055</v>
      </c>
      <c r="N142" s="2"/>
      <c r="O142" s="2">
        <v>99.84</v>
      </c>
      <c r="P142" s="2">
        <v>48</v>
      </c>
      <c r="Q142" s="2"/>
      <c r="R142" s="2"/>
      <c r="S142" s="2"/>
      <c r="T142" s="2"/>
      <c r="U142" s="2"/>
      <c r="V142" s="2">
        <v>0</v>
      </c>
      <c r="W142" s="2" t="b">
        <v>0</v>
      </c>
      <c r="X142" s="4" t="s">
        <v>1056</v>
      </c>
      <c r="Y142" s="2"/>
      <c r="Z142" s="2"/>
      <c r="AA142" s="2"/>
      <c r="AC142" s="5" t="str">
        <f t="shared" si="4"/>
        <v/>
      </c>
      <c r="AD142" s="10"/>
    </row>
    <row r="143" spans="1:30" x14ac:dyDescent="0.3">
      <c r="A143" s="2" t="s">
        <v>1057</v>
      </c>
      <c r="B143" s="2" t="s">
        <v>1360</v>
      </c>
      <c r="C143" s="2">
        <v>0</v>
      </c>
      <c r="D143" s="2"/>
      <c r="E143" s="2" t="s">
        <v>394</v>
      </c>
      <c r="F143" s="2"/>
      <c r="G143" s="2" t="s">
        <v>1058</v>
      </c>
      <c r="H143" s="2"/>
      <c r="I143" s="2">
        <v>32</v>
      </c>
      <c r="J143" s="2"/>
      <c r="K143" s="2" t="s">
        <v>1138</v>
      </c>
      <c r="L143" s="2" t="s">
        <v>1059</v>
      </c>
      <c r="M143" s="2" t="s">
        <v>1060</v>
      </c>
      <c r="N143" s="2"/>
      <c r="O143" s="2">
        <v>80.16</v>
      </c>
      <c r="P143" s="2">
        <v>48</v>
      </c>
      <c r="Q143" s="2"/>
      <c r="R143" s="2"/>
      <c r="S143" s="2"/>
      <c r="T143" s="2"/>
      <c r="U143" s="2"/>
      <c r="V143" s="2">
        <v>0</v>
      </c>
      <c r="W143" s="2" t="b">
        <v>0</v>
      </c>
      <c r="X143" s="4" t="s">
        <v>1061</v>
      </c>
      <c r="Y143" s="2"/>
      <c r="Z143" s="2"/>
      <c r="AA143" s="2"/>
      <c r="AC143" s="5" t="str">
        <f t="shared" si="4"/>
        <v/>
      </c>
      <c r="AD143" s="10"/>
    </row>
    <row r="144" spans="1:30" x14ac:dyDescent="0.3">
      <c r="A144" s="7" t="s">
        <v>1062</v>
      </c>
      <c r="B144" s="7" t="s">
        <v>1361</v>
      </c>
      <c r="C144" s="7">
        <v>1</v>
      </c>
      <c r="D144" s="7" t="s">
        <v>1362</v>
      </c>
      <c r="E144" s="7" t="s">
        <v>112</v>
      </c>
      <c r="F144" s="7" t="s">
        <v>112</v>
      </c>
      <c r="G144" s="7" t="s">
        <v>1063</v>
      </c>
      <c r="H144" s="7" t="s">
        <v>1064</v>
      </c>
      <c r="I144" s="7">
        <v>32330000</v>
      </c>
      <c r="J144" s="7">
        <v>32321300</v>
      </c>
      <c r="K144" s="7" t="s">
        <v>1138</v>
      </c>
      <c r="L144" s="7" t="s">
        <v>1065</v>
      </c>
      <c r="M144" s="7" t="s">
        <v>1066</v>
      </c>
      <c r="N144" s="7" t="s">
        <v>1067</v>
      </c>
      <c r="O144" s="7">
        <v>29.11</v>
      </c>
      <c r="P144" s="7">
        <v>36</v>
      </c>
      <c r="Q144" s="7">
        <v>0.55630000000000002</v>
      </c>
      <c r="R144" s="7">
        <v>0.55310000000000004</v>
      </c>
      <c r="S144" s="7">
        <v>0.4</v>
      </c>
      <c r="T144" s="7">
        <v>0.42549999999999999</v>
      </c>
      <c r="U144" s="7">
        <v>3.3E-3</v>
      </c>
      <c r="V144" s="7">
        <v>5</v>
      </c>
      <c r="W144" s="7" t="b">
        <v>0</v>
      </c>
      <c r="X144" s="9" t="s">
        <v>1068</v>
      </c>
      <c r="Y144" s="9" t="s">
        <v>1069</v>
      </c>
      <c r="Z144" s="7"/>
      <c r="AA144" s="7"/>
      <c r="AC144" s="5" t="str">
        <f t="shared" si="4"/>
        <v/>
      </c>
      <c r="AD144" s="10"/>
    </row>
    <row r="145" spans="1:30" x14ac:dyDescent="0.3">
      <c r="A145" s="7" t="s">
        <v>1070</v>
      </c>
      <c r="B145" s="7" t="s">
        <v>1363</v>
      </c>
      <c r="C145" s="7">
        <v>1</v>
      </c>
      <c r="D145" s="7" t="s">
        <v>1364</v>
      </c>
      <c r="E145" s="7" t="s">
        <v>1071</v>
      </c>
      <c r="F145" s="7" t="s">
        <v>1071</v>
      </c>
      <c r="G145" s="7" t="s">
        <v>1072</v>
      </c>
      <c r="H145" s="7" t="s">
        <v>1073</v>
      </c>
      <c r="I145" s="7">
        <v>32323500</v>
      </c>
      <c r="J145" s="7">
        <v>32420000</v>
      </c>
      <c r="K145" s="7" t="s">
        <v>1138</v>
      </c>
      <c r="L145" s="7" t="s">
        <v>1074</v>
      </c>
      <c r="M145" s="7" t="s">
        <v>1075</v>
      </c>
      <c r="N145" s="7" t="s">
        <v>1076</v>
      </c>
      <c r="O145" s="7">
        <v>14.62</v>
      </c>
      <c r="P145" s="7">
        <v>4</v>
      </c>
      <c r="Q145" s="7">
        <v>0.3654</v>
      </c>
      <c r="R145" s="7">
        <v>0.35610000000000003</v>
      </c>
      <c r="S145" s="7">
        <v>0.2</v>
      </c>
      <c r="T145" s="7">
        <v>0.11509999999999999</v>
      </c>
      <c r="U145" s="7"/>
      <c r="V145" s="7">
        <v>1</v>
      </c>
      <c r="W145" s="7" t="b">
        <v>0</v>
      </c>
      <c r="X145" s="9" t="s">
        <v>1077</v>
      </c>
      <c r="Y145" s="9" t="s">
        <v>1078</v>
      </c>
      <c r="Z145" s="7"/>
      <c r="AA145" s="7"/>
      <c r="AC145" s="5" t="str">
        <f t="shared" si="4"/>
        <v/>
      </c>
      <c r="AD145" s="10"/>
    </row>
    <row r="146" spans="1:30" x14ac:dyDescent="0.3">
      <c r="A146" s="7" t="s">
        <v>1079</v>
      </c>
      <c r="B146" s="7" t="s">
        <v>1365</v>
      </c>
      <c r="C146" s="7">
        <v>1</v>
      </c>
      <c r="D146" s="7" t="s">
        <v>1326</v>
      </c>
      <c r="E146" s="7" t="s">
        <v>762</v>
      </c>
      <c r="F146" s="7" t="s">
        <v>762</v>
      </c>
      <c r="G146" s="7" t="s">
        <v>1080</v>
      </c>
      <c r="H146" s="7" t="s">
        <v>897</v>
      </c>
      <c r="I146" s="7">
        <v>48170000</v>
      </c>
      <c r="J146" s="7">
        <v>48000000</v>
      </c>
      <c r="K146" s="7" t="s">
        <v>1134</v>
      </c>
      <c r="L146" s="7" t="s">
        <v>1013</v>
      </c>
      <c r="M146" s="7" t="s">
        <v>1081</v>
      </c>
      <c r="N146" s="7" t="s">
        <v>642</v>
      </c>
      <c r="O146" s="7">
        <v>37.979999999999997</v>
      </c>
      <c r="P146" s="7">
        <v>36</v>
      </c>
      <c r="Q146" s="7">
        <v>0.63</v>
      </c>
      <c r="R146" s="7">
        <v>0.6573</v>
      </c>
      <c r="S146" s="7">
        <v>0.2</v>
      </c>
      <c r="T146" s="7">
        <v>0.83530000000000004</v>
      </c>
      <c r="U146" s="7">
        <v>4.0099999999999997E-2</v>
      </c>
      <c r="V146" s="7">
        <v>12</v>
      </c>
      <c r="W146" s="7" t="b">
        <v>0</v>
      </c>
      <c r="X146" s="9" t="s">
        <v>1082</v>
      </c>
      <c r="Y146" s="9" t="s">
        <v>901</v>
      </c>
      <c r="Z146" s="7"/>
      <c r="AA146" s="7"/>
      <c r="AC146" s="5" t="str">
        <f t="shared" si="4"/>
        <v/>
      </c>
      <c r="AD146" s="10"/>
    </row>
    <row r="147" spans="1:30" x14ac:dyDescent="0.3">
      <c r="A147" s="2" t="s">
        <v>1083</v>
      </c>
      <c r="B147" s="2" t="s">
        <v>1366</v>
      </c>
      <c r="C147" s="2">
        <v>0</v>
      </c>
      <c r="D147" s="2"/>
      <c r="E147" s="2" t="s">
        <v>1084</v>
      </c>
      <c r="F147" s="2"/>
      <c r="G147" s="2" t="s">
        <v>1085</v>
      </c>
      <c r="H147" s="2"/>
      <c r="I147" s="2">
        <v>72</v>
      </c>
      <c r="J147" s="2"/>
      <c r="K147" s="2" t="s">
        <v>1126</v>
      </c>
      <c r="L147" s="2" t="s">
        <v>744</v>
      </c>
      <c r="M147" s="2" t="s">
        <v>1074</v>
      </c>
      <c r="N147" s="2"/>
      <c r="O147" s="2">
        <v>66.23</v>
      </c>
      <c r="P147" s="2">
        <v>24</v>
      </c>
      <c r="Q147" s="2"/>
      <c r="R147" s="2"/>
      <c r="S147" s="2"/>
      <c r="T147" s="2"/>
      <c r="U147" s="2"/>
      <c r="V147" s="2">
        <v>0</v>
      </c>
      <c r="W147" s="2" t="b">
        <v>0</v>
      </c>
      <c r="X147" s="4" t="s">
        <v>1086</v>
      </c>
      <c r="Y147" s="2"/>
      <c r="Z147" s="2"/>
      <c r="AA147" s="2"/>
      <c r="AC147" s="5" t="str">
        <f t="shared" si="4"/>
        <v/>
      </c>
      <c r="AD147" s="10"/>
    </row>
    <row r="148" spans="1:30" x14ac:dyDescent="0.3">
      <c r="A148" s="7" t="s">
        <v>1087</v>
      </c>
      <c r="B148" s="7" t="s">
        <v>1367</v>
      </c>
      <c r="C148" s="7">
        <v>1</v>
      </c>
      <c r="D148" s="7" t="s">
        <v>1368</v>
      </c>
      <c r="E148" s="7" t="s">
        <v>1088</v>
      </c>
      <c r="F148" s="7" t="s">
        <v>1089</v>
      </c>
      <c r="G148" s="7" t="s">
        <v>1090</v>
      </c>
      <c r="H148" s="7" t="s">
        <v>1091</v>
      </c>
      <c r="I148" s="7">
        <v>72500000</v>
      </c>
      <c r="J148" s="7">
        <v>50312310</v>
      </c>
      <c r="K148" s="7" t="s">
        <v>1126</v>
      </c>
      <c r="L148" s="7" t="s">
        <v>1092</v>
      </c>
      <c r="M148" s="7" t="s">
        <v>1093</v>
      </c>
      <c r="N148" s="7" t="s">
        <v>1094</v>
      </c>
      <c r="O148" s="7">
        <v>49.8</v>
      </c>
      <c r="P148" s="7">
        <v>48</v>
      </c>
      <c r="Q148" s="7">
        <v>0.51259999999999994</v>
      </c>
      <c r="R148" s="7">
        <v>0.48170000000000002</v>
      </c>
      <c r="S148" s="7">
        <v>0</v>
      </c>
      <c r="T148" s="7">
        <v>0.8498</v>
      </c>
      <c r="U148" s="7">
        <v>7.5499999999999998E-2</v>
      </c>
      <c r="V148" s="7">
        <v>5</v>
      </c>
      <c r="W148" s="7" t="b">
        <v>0</v>
      </c>
      <c r="X148" s="9" t="s">
        <v>1095</v>
      </c>
      <c r="Y148" s="9" t="s">
        <v>1096</v>
      </c>
      <c r="Z148" s="7"/>
      <c r="AA148" s="7"/>
      <c r="AC148" s="5" t="str">
        <f t="shared" si="4"/>
        <v/>
      </c>
      <c r="AD148" s="10"/>
    </row>
    <row r="149" spans="1:30" x14ac:dyDescent="0.3">
      <c r="A149" s="7" t="s">
        <v>1097</v>
      </c>
      <c r="B149" s="7" t="s">
        <v>1369</v>
      </c>
      <c r="C149" s="7">
        <v>1</v>
      </c>
      <c r="D149" s="7" t="s">
        <v>1370</v>
      </c>
      <c r="E149" s="7" t="s">
        <v>1088</v>
      </c>
      <c r="F149" s="7" t="s">
        <v>1089</v>
      </c>
      <c r="G149" s="7" t="s">
        <v>1098</v>
      </c>
      <c r="H149" s="7" t="s">
        <v>1099</v>
      </c>
      <c r="I149" s="7">
        <v>64200000</v>
      </c>
      <c r="J149" s="7">
        <v>64200000</v>
      </c>
      <c r="K149" s="7" t="s">
        <v>1141</v>
      </c>
      <c r="L149" s="7" t="s">
        <v>1100</v>
      </c>
      <c r="M149" s="7" t="s">
        <v>1101</v>
      </c>
      <c r="N149" s="7" t="s">
        <v>1102</v>
      </c>
      <c r="O149" s="7">
        <v>47.73</v>
      </c>
      <c r="P149" s="7">
        <v>48</v>
      </c>
      <c r="Q149" s="7">
        <v>0.98939999999999995</v>
      </c>
      <c r="R149" s="7">
        <v>0.98470000000000002</v>
      </c>
      <c r="S149" s="7">
        <v>1</v>
      </c>
      <c r="T149" s="7">
        <v>0.9778</v>
      </c>
      <c r="U149" s="7">
        <v>0.40160000000000001</v>
      </c>
      <c r="V149" s="7">
        <v>12</v>
      </c>
      <c r="W149" s="7" t="b">
        <v>1</v>
      </c>
      <c r="X149" s="9" t="s">
        <v>1103</v>
      </c>
      <c r="Y149" s="9" t="s">
        <v>1104</v>
      </c>
      <c r="Z149" s="7"/>
      <c r="AA149" s="7"/>
      <c r="AC149" s="5" t="str">
        <f t="shared" si="4"/>
        <v/>
      </c>
      <c r="AD149" s="10"/>
    </row>
    <row r="150" spans="1:30" x14ac:dyDescent="0.3">
      <c r="A150" s="2" t="s">
        <v>1105</v>
      </c>
      <c r="B150" s="2" t="s">
        <v>1371</v>
      </c>
      <c r="C150" s="2">
        <v>0</v>
      </c>
      <c r="D150" s="2"/>
      <c r="E150" s="2" t="s">
        <v>334</v>
      </c>
      <c r="F150" s="2"/>
      <c r="G150" s="2" t="s">
        <v>1106</v>
      </c>
      <c r="H150" s="2"/>
      <c r="I150" s="2">
        <v>35</v>
      </c>
      <c r="J150" s="2"/>
      <c r="K150" s="2" t="s">
        <v>1129</v>
      </c>
      <c r="L150" s="2" t="s">
        <v>1107</v>
      </c>
      <c r="M150" s="2" t="s">
        <v>1108</v>
      </c>
      <c r="N150" s="2"/>
      <c r="O150" s="2">
        <v>59.33</v>
      </c>
      <c r="P150" s="2">
        <v>36</v>
      </c>
      <c r="Q150" s="2"/>
      <c r="R150" s="2"/>
      <c r="S150" s="2"/>
      <c r="T150" s="2"/>
      <c r="U150" s="2"/>
      <c r="V150" s="2">
        <v>0</v>
      </c>
      <c r="W150" s="2" t="b">
        <v>0</v>
      </c>
      <c r="X150" s="4" t="s">
        <v>1109</v>
      </c>
      <c r="Y150" s="2"/>
      <c r="Z150" s="2" t="s">
        <v>1035</v>
      </c>
      <c r="AA150" s="2" t="s">
        <v>1036</v>
      </c>
      <c r="AC150" s="5" t="str">
        <f t="shared" si="4"/>
        <v/>
      </c>
      <c r="AD150" s="10"/>
    </row>
    <row r="151" spans="1:30" x14ac:dyDescent="0.3">
      <c r="A151" s="2" t="s">
        <v>1110</v>
      </c>
      <c r="B151" s="2" t="s">
        <v>1372</v>
      </c>
      <c r="C151" s="2">
        <v>0</v>
      </c>
      <c r="D151" s="2"/>
      <c r="E151" s="2" t="s">
        <v>1111</v>
      </c>
      <c r="F151" s="2"/>
      <c r="G151" s="2" t="s">
        <v>1112</v>
      </c>
      <c r="H151" s="2"/>
      <c r="I151" s="2">
        <v>32</v>
      </c>
      <c r="J151" s="2"/>
      <c r="K151" s="2" t="s">
        <v>1138</v>
      </c>
      <c r="L151" s="2" t="s">
        <v>1113</v>
      </c>
      <c r="M151" s="2" t="s">
        <v>1114</v>
      </c>
      <c r="N151" s="2"/>
      <c r="O151" s="2">
        <v>34.99</v>
      </c>
      <c r="P151" s="2">
        <v>3</v>
      </c>
      <c r="Q151" s="2"/>
      <c r="R151" s="2"/>
      <c r="S151" s="2"/>
      <c r="T151" s="2"/>
      <c r="U151" s="2"/>
      <c r="V151" s="2">
        <v>0</v>
      </c>
      <c r="W151" s="2" t="b">
        <v>0</v>
      </c>
      <c r="X151" s="4" t="s">
        <v>1115</v>
      </c>
      <c r="Y151" s="2"/>
      <c r="Z151" s="2" t="s">
        <v>1116</v>
      </c>
      <c r="AA151" s="2" t="s">
        <v>1117</v>
      </c>
      <c r="AC151" s="5" t="str">
        <f t="shared" si="4"/>
        <v/>
      </c>
      <c r="AD151" s="10"/>
    </row>
  </sheetData>
  <dataValidations count="2">
    <dataValidation type="list" allowBlank="1" showInputMessage="1" promptTitle="Choose decision" prompt="Pick one value from the list" sqref="AB2:AB151" xr:uid="{00000000-0002-0000-0100-000000000000}">
      <formula1>"credible_renewal,doubtful_but_possible,not_credible_false_positive,plausible_censored,missed_renewal_false_negative,impossible_to_judge"</formula1>
    </dataValidation>
    <dataValidation type="list" allowBlank="1" sqref="AE2:AF151" xr:uid="{00000000-0002-0000-0100-000001000000}">
      <formula1>"yes,no"</formula1>
    </dataValidation>
  </dataValidations>
  <hyperlinks>
    <hyperlink ref="X2" r:id="rId1" xr:uid="{00000000-0004-0000-0100-000000000000}"/>
    <hyperlink ref="X3" r:id="rId2" xr:uid="{00000000-0004-0000-0100-000001000000}"/>
    <hyperlink ref="Y3" r:id="rId3" xr:uid="{00000000-0004-0000-0100-000002000000}"/>
    <hyperlink ref="X4" r:id="rId4" xr:uid="{00000000-0004-0000-0100-000003000000}"/>
    <hyperlink ref="Y4" r:id="rId5" xr:uid="{00000000-0004-0000-0100-000004000000}"/>
    <hyperlink ref="X5" r:id="rId6" xr:uid="{00000000-0004-0000-0100-000005000000}"/>
    <hyperlink ref="X6" r:id="rId7" xr:uid="{00000000-0004-0000-0100-000006000000}"/>
    <hyperlink ref="X7" r:id="rId8" xr:uid="{00000000-0004-0000-0100-000007000000}"/>
    <hyperlink ref="Y7" r:id="rId9" xr:uid="{00000000-0004-0000-0100-000008000000}"/>
    <hyperlink ref="X8" r:id="rId10" xr:uid="{00000000-0004-0000-0100-000009000000}"/>
    <hyperlink ref="X9" r:id="rId11" xr:uid="{00000000-0004-0000-0100-00000A000000}"/>
    <hyperlink ref="Y9" r:id="rId12" xr:uid="{00000000-0004-0000-0100-00000B000000}"/>
    <hyperlink ref="X10" r:id="rId13" xr:uid="{00000000-0004-0000-0100-00000C000000}"/>
    <hyperlink ref="X11" r:id="rId14" xr:uid="{00000000-0004-0000-0100-00000D000000}"/>
    <hyperlink ref="X12" r:id="rId15" xr:uid="{00000000-0004-0000-0100-00000E000000}"/>
    <hyperlink ref="Y12" r:id="rId16" xr:uid="{00000000-0004-0000-0100-00000F000000}"/>
    <hyperlink ref="X13" r:id="rId17" xr:uid="{00000000-0004-0000-0100-000010000000}"/>
    <hyperlink ref="Y13" r:id="rId18" xr:uid="{00000000-0004-0000-0100-000011000000}"/>
    <hyperlink ref="X14" r:id="rId19" xr:uid="{00000000-0004-0000-0100-000012000000}"/>
    <hyperlink ref="Y14" r:id="rId20" xr:uid="{00000000-0004-0000-0100-000013000000}"/>
    <hyperlink ref="X15" r:id="rId21" xr:uid="{00000000-0004-0000-0100-000014000000}"/>
    <hyperlink ref="Y15" r:id="rId22" xr:uid="{00000000-0004-0000-0100-000015000000}"/>
    <hyperlink ref="X16" r:id="rId23" xr:uid="{00000000-0004-0000-0100-000016000000}"/>
    <hyperlink ref="Y16" r:id="rId24" xr:uid="{00000000-0004-0000-0100-000017000000}"/>
    <hyperlink ref="X17" r:id="rId25" xr:uid="{00000000-0004-0000-0100-000018000000}"/>
    <hyperlink ref="X18" r:id="rId26" xr:uid="{00000000-0004-0000-0100-000019000000}"/>
    <hyperlink ref="X19" r:id="rId27" xr:uid="{00000000-0004-0000-0100-00001A000000}"/>
    <hyperlink ref="X20" r:id="rId28" xr:uid="{00000000-0004-0000-0100-00001B000000}"/>
    <hyperlink ref="X21" r:id="rId29" xr:uid="{00000000-0004-0000-0100-00001C000000}"/>
    <hyperlink ref="Y21" r:id="rId30" xr:uid="{00000000-0004-0000-0100-00001D000000}"/>
    <hyperlink ref="X22" r:id="rId31" xr:uid="{00000000-0004-0000-0100-00001E000000}"/>
    <hyperlink ref="Y22" r:id="rId32" xr:uid="{00000000-0004-0000-0100-00001F000000}"/>
    <hyperlink ref="X23" r:id="rId33" xr:uid="{00000000-0004-0000-0100-000020000000}"/>
    <hyperlink ref="Y23" r:id="rId34" xr:uid="{00000000-0004-0000-0100-000021000000}"/>
    <hyperlink ref="X24" r:id="rId35" xr:uid="{00000000-0004-0000-0100-000022000000}"/>
    <hyperlink ref="Y24" r:id="rId36" xr:uid="{00000000-0004-0000-0100-000023000000}"/>
    <hyperlink ref="X25" r:id="rId37" xr:uid="{00000000-0004-0000-0100-000024000000}"/>
    <hyperlink ref="Y25" r:id="rId38" xr:uid="{00000000-0004-0000-0100-000025000000}"/>
    <hyperlink ref="X26" r:id="rId39" xr:uid="{00000000-0004-0000-0100-000026000000}"/>
    <hyperlink ref="Y26" r:id="rId40" xr:uid="{00000000-0004-0000-0100-000027000000}"/>
    <hyperlink ref="X27" r:id="rId41" xr:uid="{00000000-0004-0000-0100-000028000000}"/>
    <hyperlink ref="Y27" r:id="rId42" xr:uid="{00000000-0004-0000-0100-000029000000}"/>
    <hyperlink ref="X28" r:id="rId43" xr:uid="{00000000-0004-0000-0100-00002A000000}"/>
    <hyperlink ref="Y28" r:id="rId44" xr:uid="{00000000-0004-0000-0100-00002B000000}"/>
    <hyperlink ref="X29" r:id="rId45" xr:uid="{00000000-0004-0000-0100-00002C000000}"/>
    <hyperlink ref="Y29" r:id="rId46" xr:uid="{00000000-0004-0000-0100-00002D000000}"/>
    <hyperlink ref="X30" r:id="rId47" xr:uid="{00000000-0004-0000-0100-00002E000000}"/>
    <hyperlink ref="Y30" r:id="rId48" xr:uid="{00000000-0004-0000-0100-00002F000000}"/>
    <hyperlink ref="X31" r:id="rId49" xr:uid="{00000000-0004-0000-0100-000030000000}"/>
    <hyperlink ref="Y31" r:id="rId50" xr:uid="{00000000-0004-0000-0100-000031000000}"/>
    <hyperlink ref="X32" r:id="rId51" xr:uid="{00000000-0004-0000-0100-000032000000}"/>
    <hyperlink ref="Y32" r:id="rId52" xr:uid="{00000000-0004-0000-0100-000033000000}"/>
    <hyperlink ref="X33" r:id="rId53" xr:uid="{00000000-0004-0000-0100-000034000000}"/>
    <hyperlink ref="Y33" r:id="rId54" xr:uid="{00000000-0004-0000-0100-000035000000}"/>
    <hyperlink ref="X34" r:id="rId55" xr:uid="{00000000-0004-0000-0100-000036000000}"/>
    <hyperlink ref="X35" r:id="rId56" xr:uid="{00000000-0004-0000-0100-000037000000}"/>
    <hyperlink ref="Y35" r:id="rId57" xr:uid="{00000000-0004-0000-0100-000038000000}"/>
    <hyperlink ref="X36" r:id="rId58" xr:uid="{00000000-0004-0000-0100-000039000000}"/>
    <hyperlink ref="Y36" r:id="rId59" xr:uid="{00000000-0004-0000-0100-00003A000000}"/>
    <hyperlink ref="X37" r:id="rId60" xr:uid="{00000000-0004-0000-0100-00003B000000}"/>
    <hyperlink ref="Y37" r:id="rId61" xr:uid="{00000000-0004-0000-0100-00003C000000}"/>
    <hyperlink ref="X38" r:id="rId62" xr:uid="{00000000-0004-0000-0100-00003D000000}"/>
    <hyperlink ref="Y38" r:id="rId63" xr:uid="{00000000-0004-0000-0100-00003E000000}"/>
    <hyperlink ref="X39" r:id="rId64" xr:uid="{00000000-0004-0000-0100-00003F000000}"/>
    <hyperlink ref="Y39" r:id="rId65" xr:uid="{00000000-0004-0000-0100-000040000000}"/>
    <hyperlink ref="X40" r:id="rId66" xr:uid="{00000000-0004-0000-0100-000041000000}"/>
    <hyperlink ref="Y40" r:id="rId67" xr:uid="{00000000-0004-0000-0100-000042000000}"/>
    <hyperlink ref="X41" r:id="rId68" xr:uid="{00000000-0004-0000-0100-000043000000}"/>
    <hyperlink ref="Y41" r:id="rId69" xr:uid="{00000000-0004-0000-0100-000044000000}"/>
    <hyperlink ref="X42" r:id="rId70" xr:uid="{00000000-0004-0000-0100-000045000000}"/>
    <hyperlink ref="Y42" r:id="rId71" xr:uid="{00000000-0004-0000-0100-000046000000}"/>
    <hyperlink ref="X43" r:id="rId72" xr:uid="{00000000-0004-0000-0100-000047000000}"/>
    <hyperlink ref="X44" r:id="rId73" xr:uid="{00000000-0004-0000-0100-000048000000}"/>
    <hyperlink ref="X45" r:id="rId74" xr:uid="{00000000-0004-0000-0100-000049000000}"/>
    <hyperlink ref="Y45" r:id="rId75" xr:uid="{00000000-0004-0000-0100-00004A000000}"/>
    <hyperlink ref="X46" r:id="rId76" xr:uid="{00000000-0004-0000-0100-00004B000000}"/>
    <hyperlink ref="Y46" r:id="rId77" xr:uid="{00000000-0004-0000-0100-00004C000000}"/>
    <hyperlink ref="X47" r:id="rId78" xr:uid="{00000000-0004-0000-0100-00004D000000}"/>
    <hyperlink ref="X48" r:id="rId79" xr:uid="{00000000-0004-0000-0100-00004E000000}"/>
    <hyperlink ref="Y48" r:id="rId80" xr:uid="{00000000-0004-0000-0100-00004F000000}"/>
    <hyperlink ref="X49" r:id="rId81" xr:uid="{00000000-0004-0000-0100-000050000000}"/>
    <hyperlink ref="Y49" r:id="rId82" xr:uid="{00000000-0004-0000-0100-000051000000}"/>
    <hyperlink ref="X50" r:id="rId83" xr:uid="{00000000-0004-0000-0100-000052000000}"/>
    <hyperlink ref="X51" r:id="rId84" xr:uid="{00000000-0004-0000-0100-000053000000}"/>
    <hyperlink ref="Y51" r:id="rId85" xr:uid="{00000000-0004-0000-0100-000054000000}"/>
    <hyperlink ref="X52" r:id="rId86" xr:uid="{00000000-0004-0000-0100-000055000000}"/>
    <hyperlink ref="X53" r:id="rId87" xr:uid="{00000000-0004-0000-0100-000056000000}"/>
    <hyperlink ref="Y53" r:id="rId88" xr:uid="{00000000-0004-0000-0100-000057000000}"/>
    <hyperlink ref="X54" r:id="rId89" xr:uid="{00000000-0004-0000-0100-000058000000}"/>
    <hyperlink ref="X55" r:id="rId90" xr:uid="{00000000-0004-0000-0100-000059000000}"/>
    <hyperlink ref="Y55" r:id="rId91" xr:uid="{00000000-0004-0000-0100-00005A000000}"/>
    <hyperlink ref="X56" r:id="rId92" xr:uid="{00000000-0004-0000-0100-00005B000000}"/>
    <hyperlink ref="Y56" r:id="rId93" xr:uid="{00000000-0004-0000-0100-00005C000000}"/>
    <hyperlink ref="X57" r:id="rId94" xr:uid="{00000000-0004-0000-0100-00005D000000}"/>
    <hyperlink ref="X58" r:id="rId95" xr:uid="{00000000-0004-0000-0100-00005E000000}"/>
    <hyperlink ref="Y58" r:id="rId96" xr:uid="{00000000-0004-0000-0100-00005F000000}"/>
    <hyperlink ref="X59" r:id="rId97" xr:uid="{00000000-0004-0000-0100-000060000000}"/>
    <hyperlink ref="Y59" r:id="rId98" xr:uid="{00000000-0004-0000-0100-000061000000}"/>
    <hyperlink ref="X60" r:id="rId99" xr:uid="{00000000-0004-0000-0100-000062000000}"/>
    <hyperlink ref="Y60" r:id="rId100" xr:uid="{00000000-0004-0000-0100-000063000000}"/>
    <hyperlink ref="X61" r:id="rId101" xr:uid="{00000000-0004-0000-0100-000064000000}"/>
    <hyperlink ref="X62" r:id="rId102" xr:uid="{00000000-0004-0000-0100-000065000000}"/>
    <hyperlink ref="Y62" r:id="rId103" xr:uid="{00000000-0004-0000-0100-000066000000}"/>
    <hyperlink ref="X63" r:id="rId104" xr:uid="{00000000-0004-0000-0100-000067000000}"/>
    <hyperlink ref="Y63" r:id="rId105" xr:uid="{00000000-0004-0000-0100-000068000000}"/>
    <hyperlink ref="X64" r:id="rId106" xr:uid="{00000000-0004-0000-0100-000069000000}"/>
    <hyperlink ref="Y64" r:id="rId107" xr:uid="{00000000-0004-0000-0100-00006A000000}"/>
    <hyperlink ref="X65" r:id="rId108" xr:uid="{00000000-0004-0000-0100-00006B000000}"/>
    <hyperlink ref="Y65" r:id="rId109" xr:uid="{00000000-0004-0000-0100-00006C000000}"/>
    <hyperlink ref="X66" r:id="rId110" xr:uid="{00000000-0004-0000-0100-00006D000000}"/>
    <hyperlink ref="X67" r:id="rId111" xr:uid="{00000000-0004-0000-0100-00006E000000}"/>
    <hyperlink ref="Y67" r:id="rId112" xr:uid="{00000000-0004-0000-0100-00006F000000}"/>
    <hyperlink ref="X68" r:id="rId113" xr:uid="{00000000-0004-0000-0100-000070000000}"/>
    <hyperlink ref="X69" r:id="rId114" xr:uid="{00000000-0004-0000-0100-000071000000}"/>
    <hyperlink ref="Y69" r:id="rId115" xr:uid="{00000000-0004-0000-0100-000072000000}"/>
    <hyperlink ref="X70" r:id="rId116" xr:uid="{00000000-0004-0000-0100-000073000000}"/>
    <hyperlink ref="Y70" r:id="rId117" xr:uid="{00000000-0004-0000-0100-000074000000}"/>
    <hyperlink ref="X71" r:id="rId118" xr:uid="{00000000-0004-0000-0100-000075000000}"/>
    <hyperlink ref="X72" r:id="rId119" xr:uid="{00000000-0004-0000-0100-000076000000}"/>
    <hyperlink ref="Y72" r:id="rId120" xr:uid="{00000000-0004-0000-0100-000077000000}"/>
    <hyperlink ref="X73" r:id="rId121" xr:uid="{00000000-0004-0000-0100-000078000000}"/>
    <hyperlink ref="Y73" r:id="rId122" xr:uid="{00000000-0004-0000-0100-000079000000}"/>
    <hyperlink ref="X74" r:id="rId123" xr:uid="{00000000-0004-0000-0100-00007A000000}"/>
    <hyperlink ref="Y74" r:id="rId124" xr:uid="{00000000-0004-0000-0100-00007B000000}"/>
    <hyperlink ref="X75" r:id="rId125" xr:uid="{00000000-0004-0000-0100-00007C000000}"/>
    <hyperlink ref="X76" r:id="rId126" xr:uid="{00000000-0004-0000-0100-00007D000000}"/>
    <hyperlink ref="X77" r:id="rId127" xr:uid="{00000000-0004-0000-0100-00007E000000}"/>
    <hyperlink ref="X78" r:id="rId128" xr:uid="{00000000-0004-0000-0100-00007F000000}"/>
    <hyperlink ref="Y78" r:id="rId129" xr:uid="{00000000-0004-0000-0100-000080000000}"/>
    <hyperlink ref="X79" r:id="rId130" xr:uid="{00000000-0004-0000-0100-000081000000}"/>
    <hyperlink ref="Y79" r:id="rId131" xr:uid="{00000000-0004-0000-0100-000082000000}"/>
    <hyperlink ref="X80" r:id="rId132" xr:uid="{00000000-0004-0000-0100-000083000000}"/>
    <hyperlink ref="Y80" r:id="rId133" xr:uid="{00000000-0004-0000-0100-000084000000}"/>
    <hyperlink ref="X81" r:id="rId134" xr:uid="{00000000-0004-0000-0100-000085000000}"/>
    <hyperlink ref="X82" r:id="rId135" xr:uid="{00000000-0004-0000-0100-000086000000}"/>
    <hyperlink ref="Y82" r:id="rId136" xr:uid="{00000000-0004-0000-0100-000087000000}"/>
    <hyperlink ref="X83" r:id="rId137" xr:uid="{00000000-0004-0000-0100-000088000000}"/>
    <hyperlink ref="Y83" r:id="rId138" xr:uid="{00000000-0004-0000-0100-000089000000}"/>
    <hyperlink ref="X84" r:id="rId139" xr:uid="{00000000-0004-0000-0100-00008A000000}"/>
    <hyperlink ref="Y84" r:id="rId140" xr:uid="{00000000-0004-0000-0100-00008B000000}"/>
    <hyperlink ref="X85" r:id="rId141" xr:uid="{00000000-0004-0000-0100-00008C000000}"/>
    <hyperlink ref="X86" r:id="rId142" xr:uid="{00000000-0004-0000-0100-00008D000000}"/>
    <hyperlink ref="X87" r:id="rId143" xr:uid="{00000000-0004-0000-0100-00008E000000}"/>
    <hyperlink ref="Y87" r:id="rId144" xr:uid="{00000000-0004-0000-0100-00008F000000}"/>
    <hyperlink ref="X88" r:id="rId145" xr:uid="{00000000-0004-0000-0100-000090000000}"/>
    <hyperlink ref="Y88" r:id="rId146" xr:uid="{00000000-0004-0000-0100-000091000000}"/>
    <hyperlink ref="X89" r:id="rId147" xr:uid="{00000000-0004-0000-0100-000092000000}"/>
    <hyperlink ref="Y89" r:id="rId148" xr:uid="{00000000-0004-0000-0100-000093000000}"/>
    <hyperlink ref="X90" r:id="rId149" xr:uid="{00000000-0004-0000-0100-000094000000}"/>
    <hyperlink ref="Y90" r:id="rId150" xr:uid="{00000000-0004-0000-0100-000095000000}"/>
    <hyperlink ref="X91" r:id="rId151" xr:uid="{00000000-0004-0000-0100-000096000000}"/>
    <hyperlink ref="X92" r:id="rId152" xr:uid="{00000000-0004-0000-0100-000097000000}"/>
    <hyperlink ref="X93" r:id="rId153" xr:uid="{00000000-0004-0000-0100-000098000000}"/>
    <hyperlink ref="Y93" r:id="rId154" xr:uid="{00000000-0004-0000-0100-000099000000}"/>
    <hyperlink ref="X94" r:id="rId155" xr:uid="{00000000-0004-0000-0100-00009A000000}"/>
    <hyperlink ref="X95" r:id="rId156" xr:uid="{00000000-0004-0000-0100-00009B000000}"/>
    <hyperlink ref="Y95" r:id="rId157" xr:uid="{00000000-0004-0000-0100-00009C000000}"/>
    <hyperlink ref="X96" r:id="rId158" xr:uid="{00000000-0004-0000-0100-00009D000000}"/>
    <hyperlink ref="Y96" r:id="rId159" xr:uid="{00000000-0004-0000-0100-00009E000000}"/>
    <hyperlink ref="X97" r:id="rId160" xr:uid="{00000000-0004-0000-0100-00009F000000}"/>
    <hyperlink ref="X98" r:id="rId161" xr:uid="{00000000-0004-0000-0100-0000A0000000}"/>
    <hyperlink ref="Y98" r:id="rId162" xr:uid="{00000000-0004-0000-0100-0000A1000000}"/>
    <hyperlink ref="X99" r:id="rId163" xr:uid="{00000000-0004-0000-0100-0000A2000000}"/>
    <hyperlink ref="Y99" r:id="rId164" xr:uid="{00000000-0004-0000-0100-0000A3000000}"/>
    <hyperlink ref="X100" r:id="rId165" xr:uid="{00000000-0004-0000-0100-0000A4000000}"/>
    <hyperlink ref="Y100" r:id="rId166" xr:uid="{00000000-0004-0000-0100-0000A5000000}"/>
    <hyperlink ref="X101" r:id="rId167" xr:uid="{00000000-0004-0000-0100-0000A6000000}"/>
    <hyperlink ref="Y101" r:id="rId168" xr:uid="{00000000-0004-0000-0100-0000A7000000}"/>
    <hyperlink ref="X102" r:id="rId169" xr:uid="{00000000-0004-0000-0100-0000A8000000}"/>
    <hyperlink ref="Y102" r:id="rId170" xr:uid="{00000000-0004-0000-0100-0000A9000000}"/>
    <hyperlink ref="X103" r:id="rId171" xr:uid="{00000000-0004-0000-0100-0000AA000000}"/>
    <hyperlink ref="Y103" r:id="rId172" xr:uid="{00000000-0004-0000-0100-0000AB000000}"/>
    <hyperlink ref="X104" r:id="rId173" xr:uid="{00000000-0004-0000-0100-0000AC000000}"/>
    <hyperlink ref="Y104" r:id="rId174" xr:uid="{00000000-0004-0000-0100-0000AD000000}"/>
    <hyperlink ref="X105" r:id="rId175" xr:uid="{00000000-0004-0000-0100-0000AE000000}"/>
    <hyperlink ref="X106" r:id="rId176" xr:uid="{00000000-0004-0000-0100-0000AF000000}"/>
    <hyperlink ref="Y106" r:id="rId177" xr:uid="{00000000-0004-0000-0100-0000B0000000}"/>
    <hyperlink ref="X107" r:id="rId178" xr:uid="{00000000-0004-0000-0100-0000B1000000}"/>
    <hyperlink ref="Y107" r:id="rId179" xr:uid="{00000000-0004-0000-0100-0000B2000000}"/>
    <hyperlink ref="X108" r:id="rId180" xr:uid="{00000000-0004-0000-0100-0000B3000000}"/>
    <hyperlink ref="Y108" r:id="rId181" xr:uid="{00000000-0004-0000-0100-0000B4000000}"/>
    <hyperlink ref="X109" r:id="rId182" xr:uid="{00000000-0004-0000-0100-0000B5000000}"/>
    <hyperlink ref="X110" r:id="rId183" xr:uid="{00000000-0004-0000-0100-0000B6000000}"/>
    <hyperlink ref="Y110" r:id="rId184" xr:uid="{00000000-0004-0000-0100-0000B7000000}"/>
    <hyperlink ref="X111" r:id="rId185" xr:uid="{00000000-0004-0000-0100-0000B8000000}"/>
    <hyperlink ref="X112" r:id="rId186" xr:uid="{00000000-0004-0000-0100-0000B9000000}"/>
    <hyperlink ref="Y112" r:id="rId187" xr:uid="{00000000-0004-0000-0100-0000BA000000}"/>
    <hyperlink ref="X113" r:id="rId188" xr:uid="{00000000-0004-0000-0100-0000BB000000}"/>
    <hyperlink ref="Y113" r:id="rId189" xr:uid="{00000000-0004-0000-0100-0000BC000000}"/>
    <hyperlink ref="X114" r:id="rId190" xr:uid="{00000000-0004-0000-0100-0000BD000000}"/>
    <hyperlink ref="Y114" r:id="rId191" xr:uid="{00000000-0004-0000-0100-0000BE000000}"/>
    <hyperlink ref="X115" r:id="rId192" xr:uid="{00000000-0004-0000-0100-0000BF000000}"/>
    <hyperlink ref="Y115" r:id="rId193" xr:uid="{00000000-0004-0000-0100-0000C0000000}"/>
    <hyperlink ref="X116" r:id="rId194" xr:uid="{00000000-0004-0000-0100-0000C1000000}"/>
    <hyperlink ref="Y116" r:id="rId195" xr:uid="{00000000-0004-0000-0100-0000C2000000}"/>
    <hyperlink ref="X117" r:id="rId196" xr:uid="{00000000-0004-0000-0100-0000C3000000}"/>
    <hyperlink ref="Y117" r:id="rId197" xr:uid="{00000000-0004-0000-0100-0000C4000000}"/>
    <hyperlink ref="X118" r:id="rId198" xr:uid="{00000000-0004-0000-0100-0000C5000000}"/>
    <hyperlink ref="X119" r:id="rId199" xr:uid="{00000000-0004-0000-0100-0000C6000000}"/>
    <hyperlink ref="Y119" r:id="rId200" xr:uid="{00000000-0004-0000-0100-0000C7000000}"/>
    <hyperlink ref="X120" r:id="rId201" xr:uid="{00000000-0004-0000-0100-0000C8000000}"/>
    <hyperlink ref="X121" r:id="rId202" xr:uid="{00000000-0004-0000-0100-0000C9000000}"/>
    <hyperlink ref="X122" r:id="rId203" xr:uid="{00000000-0004-0000-0100-0000CA000000}"/>
    <hyperlink ref="X123" r:id="rId204" xr:uid="{00000000-0004-0000-0100-0000CB000000}"/>
    <hyperlink ref="Y123" r:id="rId205" xr:uid="{00000000-0004-0000-0100-0000CC000000}"/>
    <hyperlink ref="X124" r:id="rId206" xr:uid="{00000000-0004-0000-0100-0000CD000000}"/>
    <hyperlink ref="X125" r:id="rId207" xr:uid="{00000000-0004-0000-0100-0000CE000000}"/>
    <hyperlink ref="X126" r:id="rId208" xr:uid="{00000000-0004-0000-0100-0000CF000000}"/>
    <hyperlink ref="Y126" r:id="rId209" xr:uid="{00000000-0004-0000-0100-0000D0000000}"/>
    <hyperlink ref="X127" r:id="rId210" xr:uid="{00000000-0004-0000-0100-0000D1000000}"/>
    <hyperlink ref="X128" r:id="rId211" xr:uid="{00000000-0004-0000-0100-0000D2000000}"/>
    <hyperlink ref="Y128" r:id="rId212" xr:uid="{00000000-0004-0000-0100-0000D3000000}"/>
    <hyperlink ref="X129" r:id="rId213" xr:uid="{00000000-0004-0000-0100-0000D4000000}"/>
    <hyperlink ref="Y129" r:id="rId214" xr:uid="{00000000-0004-0000-0100-0000D5000000}"/>
    <hyperlink ref="X130" r:id="rId215" xr:uid="{00000000-0004-0000-0100-0000D6000000}"/>
    <hyperlink ref="Y130" r:id="rId216" xr:uid="{00000000-0004-0000-0100-0000D7000000}"/>
    <hyperlink ref="X131" r:id="rId217" xr:uid="{00000000-0004-0000-0100-0000D8000000}"/>
    <hyperlink ref="X132" r:id="rId218" xr:uid="{00000000-0004-0000-0100-0000D9000000}"/>
    <hyperlink ref="Y132" r:id="rId219" xr:uid="{00000000-0004-0000-0100-0000DA000000}"/>
    <hyperlink ref="X133" r:id="rId220" xr:uid="{00000000-0004-0000-0100-0000DB000000}"/>
    <hyperlink ref="Y133" r:id="rId221" xr:uid="{00000000-0004-0000-0100-0000DC000000}"/>
    <hyperlink ref="X134" r:id="rId222" xr:uid="{00000000-0004-0000-0100-0000DD000000}"/>
    <hyperlink ref="Y134" r:id="rId223" xr:uid="{00000000-0004-0000-0100-0000DE000000}"/>
    <hyperlink ref="X135" r:id="rId224" xr:uid="{00000000-0004-0000-0100-0000DF000000}"/>
    <hyperlink ref="Y135" r:id="rId225" xr:uid="{00000000-0004-0000-0100-0000E0000000}"/>
    <hyperlink ref="X136" r:id="rId226" xr:uid="{00000000-0004-0000-0100-0000E1000000}"/>
    <hyperlink ref="Y136" r:id="rId227" xr:uid="{00000000-0004-0000-0100-0000E2000000}"/>
    <hyperlink ref="X137" r:id="rId228" xr:uid="{00000000-0004-0000-0100-0000E3000000}"/>
    <hyperlink ref="Y137" r:id="rId229" xr:uid="{00000000-0004-0000-0100-0000E4000000}"/>
    <hyperlink ref="X138" r:id="rId230" xr:uid="{00000000-0004-0000-0100-0000E5000000}"/>
    <hyperlink ref="Y138" r:id="rId231" xr:uid="{00000000-0004-0000-0100-0000E6000000}"/>
    <hyperlink ref="X139" r:id="rId232" xr:uid="{00000000-0004-0000-0100-0000E7000000}"/>
    <hyperlink ref="X140" r:id="rId233" xr:uid="{00000000-0004-0000-0100-0000E8000000}"/>
    <hyperlink ref="X141" r:id="rId234" xr:uid="{00000000-0004-0000-0100-0000E9000000}"/>
    <hyperlink ref="Y141" r:id="rId235" xr:uid="{00000000-0004-0000-0100-0000EA000000}"/>
    <hyperlink ref="X142" r:id="rId236" xr:uid="{00000000-0004-0000-0100-0000EB000000}"/>
    <hyperlink ref="X143" r:id="rId237" xr:uid="{00000000-0004-0000-0100-0000EC000000}"/>
    <hyperlink ref="X144" r:id="rId238" xr:uid="{00000000-0004-0000-0100-0000ED000000}"/>
    <hyperlink ref="Y144" r:id="rId239" xr:uid="{00000000-0004-0000-0100-0000EE000000}"/>
    <hyperlink ref="X145" r:id="rId240" xr:uid="{00000000-0004-0000-0100-0000EF000000}"/>
    <hyperlink ref="Y145" r:id="rId241" xr:uid="{00000000-0004-0000-0100-0000F0000000}"/>
    <hyperlink ref="X146" r:id="rId242" xr:uid="{00000000-0004-0000-0100-0000F1000000}"/>
    <hyperlink ref="Y146" r:id="rId243" xr:uid="{00000000-0004-0000-0100-0000F2000000}"/>
    <hyperlink ref="X147" r:id="rId244" xr:uid="{00000000-0004-0000-0100-0000F3000000}"/>
    <hyperlink ref="X148" r:id="rId245" xr:uid="{00000000-0004-0000-0100-0000F4000000}"/>
    <hyperlink ref="Y148" r:id="rId246" xr:uid="{00000000-0004-0000-0100-0000F5000000}"/>
    <hyperlink ref="X149" r:id="rId247" xr:uid="{00000000-0004-0000-0100-0000F6000000}"/>
    <hyperlink ref="Y149" r:id="rId248" xr:uid="{00000000-0004-0000-0100-0000F7000000}"/>
    <hyperlink ref="X150" r:id="rId249" xr:uid="{00000000-0004-0000-0100-0000F8000000}"/>
    <hyperlink ref="X151" r:id="rId250" xr:uid="{00000000-0004-0000-0100-0000F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8671875" defaultRowHeight="14.4" x14ac:dyDescent="0.3"/>
  <sheetData>
    <row r="1" spans="1:2" ht="28.8" x14ac:dyDescent="0.3">
      <c r="A1" s="11" t="s">
        <v>1373</v>
      </c>
      <c r="B1" s="11" t="s">
        <v>1374</v>
      </c>
    </row>
    <row r="2" spans="1:2" x14ac:dyDescent="0.3">
      <c r="A2" t="s">
        <v>1375</v>
      </c>
      <c r="B2" t="s">
        <v>1376</v>
      </c>
    </row>
    <row r="3" spans="1:2" x14ac:dyDescent="0.3">
      <c r="A3" t="s">
        <v>1377</v>
      </c>
      <c r="B3" t="s">
        <v>1378</v>
      </c>
    </row>
    <row r="4" spans="1:2" x14ac:dyDescent="0.3">
      <c r="A4" t="s">
        <v>1379</v>
      </c>
      <c r="B4" t="s">
        <v>1380</v>
      </c>
    </row>
    <row r="5" spans="1:2" x14ac:dyDescent="0.3">
      <c r="A5" t="s">
        <v>1381</v>
      </c>
      <c r="B5" t="s">
        <v>1382</v>
      </c>
    </row>
    <row r="6" spans="1:2" x14ac:dyDescent="0.3">
      <c r="A6" t="s">
        <v>1383</v>
      </c>
      <c r="B6" t="s">
        <v>1384</v>
      </c>
    </row>
    <row r="7" spans="1:2" x14ac:dyDescent="0.3">
      <c r="A7" t="s">
        <v>1385</v>
      </c>
      <c r="B7" t="s">
        <v>1386</v>
      </c>
    </row>
    <row r="8" spans="1:2" x14ac:dyDescent="0.3">
      <c r="A8" t="s">
        <v>1387</v>
      </c>
      <c r="B8" t="s">
        <v>1388</v>
      </c>
    </row>
    <row r="9" spans="1:2" x14ac:dyDescent="0.3">
      <c r="A9" t="s">
        <v>1389</v>
      </c>
      <c r="B9" t="s">
        <v>1390</v>
      </c>
    </row>
    <row r="10" spans="1:2" x14ac:dyDescent="0.3">
      <c r="A10" t="s">
        <v>1391</v>
      </c>
      <c r="B10" t="s">
        <v>1392</v>
      </c>
    </row>
    <row r="11" spans="1:2" x14ac:dyDescent="0.3">
      <c r="A11" t="s">
        <v>1393</v>
      </c>
      <c r="B11" t="s">
        <v>1394</v>
      </c>
    </row>
    <row r="12" spans="1:2" x14ac:dyDescent="0.3">
      <c r="A12" t="s">
        <v>1395</v>
      </c>
      <c r="B12" t="s">
        <v>1396</v>
      </c>
    </row>
    <row r="13" spans="1:2" x14ac:dyDescent="0.3">
      <c r="A13" t="s">
        <v>1397</v>
      </c>
      <c r="B13" t="s">
        <v>1398</v>
      </c>
    </row>
    <row r="14" spans="1:2" x14ac:dyDescent="0.3">
      <c r="A14" t="s">
        <v>1399</v>
      </c>
      <c r="B14" t="s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8671875" defaultRowHeight="14.4" x14ac:dyDescent="0.3"/>
  <sheetData>
    <row r="1" spans="1:2" x14ac:dyDescent="0.3">
      <c r="A1" s="11" t="s">
        <v>1401</v>
      </c>
      <c r="B1" s="11" t="s">
        <v>1402</v>
      </c>
    </row>
    <row r="2" spans="1:2" x14ac:dyDescent="0.3">
      <c r="A2" t="s">
        <v>1403</v>
      </c>
      <c r="B2">
        <v>1100</v>
      </c>
    </row>
    <row r="3" spans="1:2" x14ac:dyDescent="0.3">
      <c r="A3" t="s">
        <v>1404</v>
      </c>
      <c r="B3">
        <v>697</v>
      </c>
    </row>
    <row r="4" spans="1:2" x14ac:dyDescent="0.3">
      <c r="A4" t="s">
        <v>1405</v>
      </c>
      <c r="B4">
        <v>403</v>
      </c>
    </row>
    <row r="5" spans="1:2" x14ac:dyDescent="0.3">
      <c r="A5" t="s">
        <v>1406</v>
      </c>
      <c r="B5">
        <v>0.63360000000000005</v>
      </c>
    </row>
    <row r="6" spans="1:2" x14ac:dyDescent="0.3">
      <c r="A6" t="s">
        <v>1407</v>
      </c>
      <c r="B6">
        <v>90</v>
      </c>
    </row>
    <row r="7" spans="1:2" x14ac:dyDescent="0.3">
      <c r="A7" t="s">
        <v>1408</v>
      </c>
      <c r="B7">
        <v>8.1799999999999998E-2</v>
      </c>
    </row>
    <row r="8" spans="1:2" x14ac:dyDescent="0.3">
      <c r="A8" t="s">
        <v>1409</v>
      </c>
      <c r="B8">
        <v>0.55479999999999996</v>
      </c>
    </row>
    <row r="9" spans="1:2" x14ac:dyDescent="0.3">
      <c r="A9" t="s">
        <v>1410</v>
      </c>
      <c r="B9">
        <v>5.1700000000000003E-2</v>
      </c>
    </row>
    <row r="10" spans="1:2" x14ac:dyDescent="0.3">
      <c r="A10" t="s">
        <v>1411</v>
      </c>
      <c r="B10">
        <v>135</v>
      </c>
    </row>
    <row r="11" spans="1:2" x14ac:dyDescent="0.3">
      <c r="A11" t="s">
        <v>1412</v>
      </c>
      <c r="B11">
        <v>0.1227</v>
      </c>
    </row>
    <row r="12" spans="1:2" x14ac:dyDescent="0.3">
      <c r="A12" t="s">
        <v>1413</v>
      </c>
      <c r="B12">
        <v>0.48920000000000002</v>
      </c>
    </row>
    <row r="13" spans="1:2" x14ac:dyDescent="0.3">
      <c r="A13" t="s">
        <v>1414</v>
      </c>
      <c r="B13">
        <v>0.6532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8.88671875" defaultRowHeight="14.4" x14ac:dyDescent="0.3"/>
  <sheetData>
    <row r="1" spans="1:4" ht="57.6" x14ac:dyDescent="0.3">
      <c r="A1" s="11" t="s">
        <v>1415</v>
      </c>
      <c r="B1" s="11" t="s">
        <v>1416</v>
      </c>
      <c r="C1" s="11" t="s">
        <v>1417</v>
      </c>
      <c r="D1" s="11" t="s">
        <v>1418</v>
      </c>
    </row>
    <row r="2" spans="1:4" x14ac:dyDescent="0.3">
      <c r="A2">
        <v>0.5</v>
      </c>
      <c r="B2">
        <v>494</v>
      </c>
      <c r="C2">
        <v>0.70879999999999999</v>
      </c>
      <c r="D2">
        <v>0.4491</v>
      </c>
    </row>
    <row r="3" spans="1:4" x14ac:dyDescent="0.3">
      <c r="A3">
        <v>0.55000000000000004</v>
      </c>
      <c r="B3">
        <v>358</v>
      </c>
      <c r="C3">
        <v>0.51359999999999995</v>
      </c>
      <c r="D3">
        <v>0.32550000000000001</v>
      </c>
    </row>
    <row r="4" spans="1:4" x14ac:dyDescent="0.3">
      <c r="A4">
        <v>0.6</v>
      </c>
      <c r="B4">
        <v>251</v>
      </c>
      <c r="C4">
        <v>0.36009999999999998</v>
      </c>
      <c r="D4">
        <v>0.22819999999999999</v>
      </c>
    </row>
    <row r="5" spans="1:4" x14ac:dyDescent="0.3">
      <c r="A5">
        <v>0.65</v>
      </c>
      <c r="B5">
        <v>178</v>
      </c>
      <c r="C5">
        <v>0.25540000000000002</v>
      </c>
      <c r="D5">
        <v>0.1618</v>
      </c>
    </row>
    <row r="6" spans="1:4" x14ac:dyDescent="0.3">
      <c r="A6">
        <v>0.7</v>
      </c>
      <c r="B6">
        <v>122</v>
      </c>
      <c r="C6">
        <v>0.17499999999999999</v>
      </c>
      <c r="D6">
        <v>0.1109</v>
      </c>
    </row>
    <row r="7" spans="1:4" x14ac:dyDescent="0.3">
      <c r="A7">
        <v>0.75</v>
      </c>
      <c r="B7">
        <v>85</v>
      </c>
      <c r="C7">
        <v>0.122</v>
      </c>
      <c r="D7">
        <v>7.7299999999999994E-2</v>
      </c>
    </row>
    <row r="8" spans="1:4" x14ac:dyDescent="0.3">
      <c r="A8">
        <v>0.8</v>
      </c>
      <c r="B8">
        <v>66</v>
      </c>
      <c r="C8">
        <v>9.4700000000000006E-2</v>
      </c>
      <c r="D8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baseColWidth="10" defaultColWidth="8.88671875" defaultRowHeight="14.4" x14ac:dyDescent="0.3"/>
  <sheetData>
    <row r="1" spans="1:5" ht="43.2" x14ac:dyDescent="0.3">
      <c r="A1" s="11" t="s">
        <v>1419</v>
      </c>
      <c r="B1" s="11" t="s">
        <v>1420</v>
      </c>
      <c r="C1" s="11" t="s">
        <v>1421</v>
      </c>
      <c r="D1" s="11" t="s">
        <v>1406</v>
      </c>
      <c r="E1" s="11" t="s">
        <v>1422</v>
      </c>
    </row>
    <row r="2" spans="1:5" x14ac:dyDescent="0.3">
      <c r="A2">
        <v>2015</v>
      </c>
      <c r="B2">
        <v>116</v>
      </c>
      <c r="C2">
        <v>79</v>
      </c>
      <c r="D2">
        <v>0.68100000000000005</v>
      </c>
      <c r="E2">
        <v>0.57989999999999997</v>
      </c>
    </row>
    <row r="3" spans="1:5" x14ac:dyDescent="0.3">
      <c r="A3">
        <v>2016</v>
      </c>
      <c r="B3">
        <v>170</v>
      </c>
      <c r="C3">
        <v>95</v>
      </c>
      <c r="D3">
        <v>0.55879999999999996</v>
      </c>
      <c r="E3">
        <v>0.59399999999999997</v>
      </c>
    </row>
    <row r="4" spans="1:5" x14ac:dyDescent="0.3">
      <c r="A4">
        <v>2017</v>
      </c>
      <c r="B4">
        <v>187</v>
      </c>
      <c r="C4">
        <v>125</v>
      </c>
      <c r="D4">
        <v>0.66839999999999999</v>
      </c>
      <c r="E4">
        <v>0.59399999999999997</v>
      </c>
    </row>
    <row r="5" spans="1:5" x14ac:dyDescent="0.3">
      <c r="A5">
        <v>2018</v>
      </c>
      <c r="B5">
        <v>189</v>
      </c>
      <c r="C5">
        <v>120</v>
      </c>
      <c r="D5">
        <v>0.63490000000000002</v>
      </c>
      <c r="E5">
        <v>0.58589999999999998</v>
      </c>
    </row>
    <row r="6" spans="1:5" x14ac:dyDescent="0.3">
      <c r="A6">
        <v>2019</v>
      </c>
      <c r="B6">
        <v>178</v>
      </c>
      <c r="C6">
        <v>123</v>
      </c>
      <c r="D6">
        <v>0.69099999999999995</v>
      </c>
      <c r="E6">
        <v>0.56000000000000005</v>
      </c>
    </row>
    <row r="7" spans="1:5" x14ac:dyDescent="0.3">
      <c r="A7">
        <v>2020</v>
      </c>
      <c r="B7">
        <v>97</v>
      </c>
      <c r="C7">
        <v>60</v>
      </c>
      <c r="D7">
        <v>0.61860000000000004</v>
      </c>
      <c r="E7">
        <v>0.55830000000000002</v>
      </c>
    </row>
    <row r="8" spans="1:5" x14ac:dyDescent="0.3">
      <c r="A8">
        <v>2021</v>
      </c>
      <c r="B8">
        <v>90</v>
      </c>
      <c r="C8">
        <v>45</v>
      </c>
      <c r="D8">
        <v>0.5</v>
      </c>
      <c r="E8">
        <v>0.59019999999999995</v>
      </c>
    </row>
    <row r="9" spans="1:5" x14ac:dyDescent="0.3">
      <c r="A9">
        <v>2022</v>
      </c>
      <c r="B9">
        <v>61</v>
      </c>
      <c r="C9">
        <v>46</v>
      </c>
      <c r="D9">
        <v>0.75409999999999999</v>
      </c>
      <c r="E9">
        <v>0.56530000000000002</v>
      </c>
    </row>
    <row r="10" spans="1:5" x14ac:dyDescent="0.3">
      <c r="A10">
        <v>2023</v>
      </c>
      <c r="B10">
        <v>12</v>
      </c>
      <c r="C10">
        <v>4</v>
      </c>
      <c r="D10">
        <v>0.33329999999999999</v>
      </c>
      <c r="E10">
        <v>0.46589999999999998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baseColWidth="10" defaultColWidth="8.88671875" defaultRowHeight="14.4" x14ac:dyDescent="0.3"/>
  <sheetData>
    <row r="1" spans="1:5" ht="43.2" x14ac:dyDescent="0.3">
      <c r="A1" s="11" t="s">
        <v>1423</v>
      </c>
      <c r="B1" s="11" t="s">
        <v>1420</v>
      </c>
      <c r="C1" s="11" t="s">
        <v>1421</v>
      </c>
      <c r="D1" s="11" t="s">
        <v>1422</v>
      </c>
      <c r="E1" s="11" t="s">
        <v>1406</v>
      </c>
    </row>
    <row r="2" spans="1:5" x14ac:dyDescent="0.3">
      <c r="A2" t="s">
        <v>1126</v>
      </c>
      <c r="B2">
        <v>312</v>
      </c>
      <c r="C2">
        <v>211</v>
      </c>
      <c r="D2">
        <v>0.6139</v>
      </c>
      <c r="E2">
        <v>0.67630000000000001</v>
      </c>
    </row>
    <row r="3" spans="1:5" x14ac:dyDescent="0.3">
      <c r="A3" t="s">
        <v>1134</v>
      </c>
      <c r="B3">
        <v>209</v>
      </c>
      <c r="C3">
        <v>148</v>
      </c>
      <c r="D3">
        <v>0.53310000000000002</v>
      </c>
      <c r="E3">
        <v>0.70809999999999995</v>
      </c>
    </row>
    <row r="4" spans="1:5" x14ac:dyDescent="0.3">
      <c r="A4" t="s">
        <v>1138</v>
      </c>
      <c r="B4">
        <v>204</v>
      </c>
      <c r="C4">
        <v>120</v>
      </c>
      <c r="D4">
        <v>0.56989999999999996</v>
      </c>
      <c r="E4">
        <v>0.58819999999999995</v>
      </c>
    </row>
    <row r="5" spans="1:5" x14ac:dyDescent="0.3">
      <c r="A5" t="s">
        <v>1129</v>
      </c>
      <c r="B5">
        <v>121</v>
      </c>
      <c r="C5">
        <v>76</v>
      </c>
      <c r="D5">
        <v>0.57550000000000001</v>
      </c>
      <c r="E5">
        <v>0.62809999999999999</v>
      </c>
    </row>
    <row r="6" spans="1:5" x14ac:dyDescent="0.3">
      <c r="A6" t="s">
        <v>1144</v>
      </c>
      <c r="B6">
        <v>108</v>
      </c>
      <c r="C6">
        <v>58</v>
      </c>
      <c r="D6">
        <v>0.55300000000000005</v>
      </c>
      <c r="E6">
        <v>0.53700000000000003</v>
      </c>
    </row>
    <row r="7" spans="1:5" x14ac:dyDescent="0.3">
      <c r="A7" t="s">
        <v>1141</v>
      </c>
      <c r="B7">
        <v>45</v>
      </c>
      <c r="C7">
        <v>29</v>
      </c>
      <c r="D7">
        <v>0.61470000000000002</v>
      </c>
      <c r="E7">
        <v>0.64439999999999997</v>
      </c>
    </row>
    <row r="8" spans="1:5" x14ac:dyDescent="0.3">
      <c r="A8" t="s">
        <v>1190</v>
      </c>
      <c r="B8">
        <v>34</v>
      </c>
      <c r="C8">
        <v>14</v>
      </c>
      <c r="D8">
        <v>0.61099999999999999</v>
      </c>
      <c r="E8">
        <v>0.4118</v>
      </c>
    </row>
    <row r="9" spans="1:5" x14ac:dyDescent="0.3">
      <c r="A9" t="s">
        <v>1248</v>
      </c>
      <c r="B9">
        <v>22</v>
      </c>
      <c r="C9">
        <v>14</v>
      </c>
      <c r="D9">
        <v>0.6552</v>
      </c>
      <c r="E9">
        <v>0.63639999999999997</v>
      </c>
    </row>
    <row r="10" spans="1:5" x14ac:dyDescent="0.3">
      <c r="A10" t="s">
        <v>1243</v>
      </c>
      <c r="B10">
        <v>21</v>
      </c>
      <c r="C10">
        <v>10</v>
      </c>
      <c r="D10">
        <v>0.5353</v>
      </c>
      <c r="E10">
        <v>0.47620000000000001</v>
      </c>
    </row>
    <row r="11" spans="1:5" x14ac:dyDescent="0.3">
      <c r="A11" t="s">
        <v>1297</v>
      </c>
      <c r="B11">
        <v>19</v>
      </c>
      <c r="C11">
        <v>13</v>
      </c>
      <c r="D11">
        <v>0.57569999999999999</v>
      </c>
      <c r="E11">
        <v>0.68420000000000003</v>
      </c>
    </row>
    <row r="12" spans="1:5" x14ac:dyDescent="0.3">
      <c r="A12" t="s">
        <v>1153</v>
      </c>
      <c r="B12">
        <v>5</v>
      </c>
      <c r="C12">
        <v>4</v>
      </c>
      <c r="D12">
        <v>0.6462</v>
      </c>
      <c r="E12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49"/>
  <sheetViews>
    <sheetView workbookViewId="0"/>
  </sheetViews>
  <sheetFormatPr baseColWidth="10" defaultColWidth="8.88671875" defaultRowHeight="14.4" x14ac:dyDescent="0.3"/>
  <sheetData>
    <row r="1" spans="1:15" ht="28.8" x14ac:dyDescent="0.3">
      <c r="A1" s="12" t="s">
        <v>1424</v>
      </c>
      <c r="B1" s="12" t="s">
        <v>1425</v>
      </c>
      <c r="C1" s="12" t="s">
        <v>1426</v>
      </c>
      <c r="D1" s="12" t="s">
        <v>1427</v>
      </c>
      <c r="E1" s="12" t="s">
        <v>1428</v>
      </c>
      <c r="F1" s="12" t="s">
        <v>1429</v>
      </c>
      <c r="G1" s="12" t="s">
        <v>1430</v>
      </c>
      <c r="H1" s="12" t="s">
        <v>1431</v>
      </c>
      <c r="I1" s="12" t="s">
        <v>1432</v>
      </c>
      <c r="J1" s="12" t="s">
        <v>1433</v>
      </c>
      <c r="K1" s="12" t="s">
        <v>1434</v>
      </c>
      <c r="L1" s="12" t="s">
        <v>1435</v>
      </c>
      <c r="M1" s="12" t="s">
        <v>1436</v>
      </c>
      <c r="N1" s="12" t="s">
        <v>1437</v>
      </c>
      <c r="O1" s="12" t="s">
        <v>1438</v>
      </c>
    </row>
    <row r="2" spans="1:15" x14ac:dyDescent="0.3">
      <c r="A2" t="s">
        <v>663</v>
      </c>
      <c r="B2" t="s">
        <v>1439</v>
      </c>
      <c r="C2" t="s">
        <v>661</v>
      </c>
      <c r="D2" t="s">
        <v>659</v>
      </c>
      <c r="F2" t="s">
        <v>660</v>
      </c>
      <c r="G2" t="s">
        <v>1440</v>
      </c>
      <c r="H2" t="s">
        <v>1441</v>
      </c>
      <c r="I2" t="s">
        <v>1442</v>
      </c>
      <c r="J2" t="s">
        <v>1443</v>
      </c>
      <c r="K2" t="s">
        <v>1444</v>
      </c>
      <c r="N2" t="s">
        <v>1445</v>
      </c>
      <c r="O2" t="s">
        <v>1446</v>
      </c>
    </row>
    <row r="3" spans="1:15" x14ac:dyDescent="0.3">
      <c r="A3" t="s">
        <v>267</v>
      </c>
      <c r="B3" t="s">
        <v>1439</v>
      </c>
      <c r="C3" t="s">
        <v>264</v>
      </c>
      <c r="D3" t="s">
        <v>261</v>
      </c>
      <c r="F3" t="s">
        <v>262</v>
      </c>
      <c r="G3" t="s">
        <v>1447</v>
      </c>
      <c r="H3" t="s">
        <v>1447</v>
      </c>
      <c r="I3" t="s">
        <v>1442</v>
      </c>
      <c r="J3" t="s">
        <v>1448</v>
      </c>
      <c r="K3" t="s">
        <v>1444</v>
      </c>
      <c r="N3" t="s">
        <v>1449</v>
      </c>
      <c r="O3" t="s">
        <v>1446</v>
      </c>
    </row>
    <row r="4" spans="1:15" x14ac:dyDescent="0.3">
      <c r="A4" t="s">
        <v>359</v>
      </c>
      <c r="B4" t="s">
        <v>1439</v>
      </c>
      <c r="C4" t="s">
        <v>264</v>
      </c>
      <c r="D4" t="s">
        <v>357</v>
      </c>
      <c r="F4" t="s">
        <v>358</v>
      </c>
      <c r="G4" t="s">
        <v>1450</v>
      </c>
      <c r="H4" t="s">
        <v>1450</v>
      </c>
      <c r="I4" t="s">
        <v>1442</v>
      </c>
      <c r="J4" t="s">
        <v>1448</v>
      </c>
      <c r="K4" t="s">
        <v>1444</v>
      </c>
      <c r="N4" t="s">
        <v>1451</v>
      </c>
      <c r="O4" t="s">
        <v>1446</v>
      </c>
    </row>
    <row r="5" spans="1:15" x14ac:dyDescent="0.3">
      <c r="A5" t="s">
        <v>448</v>
      </c>
      <c r="B5" t="s">
        <v>1439</v>
      </c>
      <c r="C5" t="s">
        <v>446</v>
      </c>
      <c r="D5" t="s">
        <v>443</v>
      </c>
      <c r="F5" t="s">
        <v>444</v>
      </c>
      <c r="G5" t="s">
        <v>1452</v>
      </c>
      <c r="H5" t="s">
        <v>1452</v>
      </c>
      <c r="I5" t="s">
        <v>1442</v>
      </c>
      <c r="J5" t="s">
        <v>1448</v>
      </c>
      <c r="K5" t="s">
        <v>1444</v>
      </c>
      <c r="M5">
        <v>24</v>
      </c>
      <c r="N5" t="s">
        <v>1453</v>
      </c>
      <c r="O5" t="s">
        <v>1446</v>
      </c>
    </row>
    <row r="6" spans="1:15" x14ac:dyDescent="0.3">
      <c r="A6" t="s">
        <v>682</v>
      </c>
      <c r="B6" t="s">
        <v>1439</v>
      </c>
      <c r="C6" t="s">
        <v>680</v>
      </c>
      <c r="D6" t="s">
        <v>41</v>
      </c>
      <c r="F6" t="s">
        <v>678</v>
      </c>
      <c r="G6" t="s">
        <v>1454</v>
      </c>
      <c r="H6" t="s">
        <v>1454</v>
      </c>
      <c r="I6" t="s">
        <v>1442</v>
      </c>
      <c r="J6" t="s">
        <v>1443</v>
      </c>
      <c r="N6" t="s">
        <v>1455</v>
      </c>
      <c r="O6" t="s">
        <v>1446</v>
      </c>
    </row>
    <row r="7" spans="1:15" x14ac:dyDescent="0.3">
      <c r="A7" t="s">
        <v>1103</v>
      </c>
      <c r="B7" t="s">
        <v>1439</v>
      </c>
      <c r="C7" t="s">
        <v>1100</v>
      </c>
      <c r="D7" t="s">
        <v>1088</v>
      </c>
      <c r="F7" t="s">
        <v>1098</v>
      </c>
      <c r="G7" t="s">
        <v>1456</v>
      </c>
      <c r="H7" t="s">
        <v>1457</v>
      </c>
      <c r="I7" t="s">
        <v>1442</v>
      </c>
      <c r="J7" t="s">
        <v>1443</v>
      </c>
      <c r="K7" t="s">
        <v>1444</v>
      </c>
      <c r="N7" t="s">
        <v>1458</v>
      </c>
      <c r="O7" t="s">
        <v>1446</v>
      </c>
    </row>
    <row r="8" spans="1:15" x14ac:dyDescent="0.3">
      <c r="A8" t="s">
        <v>880</v>
      </c>
      <c r="B8" t="s">
        <v>1439</v>
      </c>
      <c r="C8" t="s">
        <v>877</v>
      </c>
      <c r="D8" t="s">
        <v>613</v>
      </c>
      <c r="F8" t="s">
        <v>875</v>
      </c>
      <c r="G8" t="s">
        <v>1440</v>
      </c>
      <c r="H8" t="s">
        <v>1459</v>
      </c>
      <c r="I8" t="s">
        <v>1442</v>
      </c>
      <c r="J8" t="s">
        <v>1443</v>
      </c>
      <c r="M8">
        <v>48</v>
      </c>
      <c r="N8" t="s">
        <v>1460</v>
      </c>
      <c r="O8" t="s">
        <v>1446</v>
      </c>
    </row>
    <row r="9" spans="1:15" x14ac:dyDescent="0.3">
      <c r="A9" t="s">
        <v>562</v>
      </c>
      <c r="B9" t="s">
        <v>1439</v>
      </c>
      <c r="C9" t="s">
        <v>1461</v>
      </c>
      <c r="D9" t="s">
        <v>558</v>
      </c>
      <c r="F9" t="s">
        <v>559</v>
      </c>
      <c r="G9" t="s">
        <v>1462</v>
      </c>
      <c r="H9" t="s">
        <v>1462</v>
      </c>
      <c r="I9" t="s">
        <v>1442</v>
      </c>
      <c r="J9" t="s">
        <v>1448</v>
      </c>
      <c r="M9">
        <v>38</v>
      </c>
      <c r="N9" t="s">
        <v>1463</v>
      </c>
      <c r="O9" t="s">
        <v>1446</v>
      </c>
    </row>
    <row r="10" spans="1:15" x14ac:dyDescent="0.3">
      <c r="A10" t="s">
        <v>811</v>
      </c>
      <c r="B10" t="s">
        <v>1439</v>
      </c>
      <c r="C10" t="s">
        <v>808</v>
      </c>
      <c r="D10" t="s">
        <v>128</v>
      </c>
      <c r="F10" t="s">
        <v>806</v>
      </c>
      <c r="G10" t="s">
        <v>1464</v>
      </c>
      <c r="H10" t="s">
        <v>1464</v>
      </c>
      <c r="I10" t="s">
        <v>1442</v>
      </c>
      <c r="J10" t="s">
        <v>1443</v>
      </c>
      <c r="K10" t="s">
        <v>1444</v>
      </c>
      <c r="M10">
        <v>48</v>
      </c>
      <c r="N10" t="s">
        <v>1465</v>
      </c>
      <c r="O10" t="s">
        <v>1446</v>
      </c>
    </row>
    <row r="11" spans="1:15" x14ac:dyDescent="0.3">
      <c r="A11" t="s">
        <v>307</v>
      </c>
      <c r="B11" t="s">
        <v>1439</v>
      </c>
      <c r="C11" t="s">
        <v>304</v>
      </c>
      <c r="D11" t="s">
        <v>301</v>
      </c>
      <c r="F11" t="s">
        <v>302</v>
      </c>
      <c r="G11" t="s">
        <v>1466</v>
      </c>
      <c r="H11" t="s">
        <v>1467</v>
      </c>
      <c r="I11" t="s">
        <v>1442</v>
      </c>
      <c r="J11" t="s">
        <v>1443</v>
      </c>
      <c r="N11" t="s">
        <v>1468</v>
      </c>
      <c r="O11" t="s">
        <v>1446</v>
      </c>
    </row>
    <row r="12" spans="1:15" x14ac:dyDescent="0.3">
      <c r="A12" t="s">
        <v>207</v>
      </c>
      <c r="B12" t="s">
        <v>1439</v>
      </c>
      <c r="C12" t="s">
        <v>204</v>
      </c>
      <c r="D12" t="s">
        <v>201</v>
      </c>
      <c r="F12" t="s">
        <v>202</v>
      </c>
      <c r="G12" t="s">
        <v>1469</v>
      </c>
      <c r="H12" t="s">
        <v>1469</v>
      </c>
      <c r="I12" t="s">
        <v>1442</v>
      </c>
      <c r="J12" t="s">
        <v>1448</v>
      </c>
      <c r="M12">
        <v>36</v>
      </c>
      <c r="N12" t="s">
        <v>1470</v>
      </c>
      <c r="O12" t="s">
        <v>1446</v>
      </c>
    </row>
    <row r="13" spans="1:15" x14ac:dyDescent="0.3">
      <c r="A13" t="s">
        <v>920</v>
      </c>
      <c r="B13" t="s">
        <v>1439</v>
      </c>
      <c r="C13" t="s">
        <v>918</v>
      </c>
      <c r="D13" t="s">
        <v>916</v>
      </c>
      <c r="F13" t="s">
        <v>917</v>
      </c>
      <c r="G13" t="s">
        <v>1471</v>
      </c>
      <c r="H13" t="s">
        <v>1471</v>
      </c>
      <c r="I13" t="s">
        <v>1442</v>
      </c>
      <c r="J13" t="s">
        <v>1443</v>
      </c>
      <c r="N13" t="s">
        <v>1472</v>
      </c>
      <c r="O13" t="s">
        <v>1446</v>
      </c>
    </row>
    <row r="14" spans="1:15" x14ac:dyDescent="0.3">
      <c r="A14" t="s">
        <v>549</v>
      </c>
      <c r="B14" t="s">
        <v>1439</v>
      </c>
      <c r="C14" t="s">
        <v>546</v>
      </c>
      <c r="D14" t="s">
        <v>443</v>
      </c>
      <c r="F14" t="s">
        <v>544</v>
      </c>
      <c r="G14" t="s">
        <v>1473</v>
      </c>
      <c r="H14" t="s">
        <v>1473</v>
      </c>
      <c r="I14" t="s">
        <v>1442</v>
      </c>
      <c r="J14" t="s">
        <v>1443</v>
      </c>
      <c r="K14" t="s">
        <v>1444</v>
      </c>
      <c r="M14">
        <v>48</v>
      </c>
      <c r="N14" t="s">
        <v>1474</v>
      </c>
      <c r="O14" t="s">
        <v>1446</v>
      </c>
    </row>
    <row r="15" spans="1:15" x14ac:dyDescent="0.3">
      <c r="A15" t="s">
        <v>241</v>
      </c>
      <c r="B15" t="s">
        <v>1439</v>
      </c>
      <c r="C15" t="s">
        <v>238</v>
      </c>
      <c r="D15" t="s">
        <v>234</v>
      </c>
      <c r="F15" t="s">
        <v>236</v>
      </c>
      <c r="G15" t="s">
        <v>1475</v>
      </c>
      <c r="H15" t="s">
        <v>1476</v>
      </c>
      <c r="I15" t="s">
        <v>1442</v>
      </c>
      <c r="J15" t="s">
        <v>1448</v>
      </c>
      <c r="N15" t="s">
        <v>1477</v>
      </c>
      <c r="O15" t="s">
        <v>1446</v>
      </c>
    </row>
    <row r="16" spans="1:15" x14ac:dyDescent="0.3">
      <c r="A16" t="s">
        <v>668</v>
      </c>
      <c r="B16" t="s">
        <v>1439</v>
      </c>
      <c r="C16" t="s">
        <v>666</v>
      </c>
      <c r="D16" t="s">
        <v>41</v>
      </c>
      <c r="F16" t="s">
        <v>665</v>
      </c>
      <c r="G16" t="s">
        <v>1450</v>
      </c>
      <c r="H16" t="s">
        <v>1450</v>
      </c>
      <c r="I16" t="s">
        <v>1442</v>
      </c>
      <c r="J16" t="s">
        <v>1448</v>
      </c>
      <c r="K16" t="s">
        <v>1444</v>
      </c>
      <c r="N16" t="s">
        <v>1478</v>
      </c>
      <c r="O16" t="s">
        <v>1446</v>
      </c>
    </row>
    <row r="17" spans="1:15" x14ac:dyDescent="0.3">
      <c r="A17" t="s">
        <v>47</v>
      </c>
      <c r="B17" t="s">
        <v>1439</v>
      </c>
      <c r="C17" t="s">
        <v>44</v>
      </c>
      <c r="D17" t="s">
        <v>41</v>
      </c>
      <c r="F17" t="s">
        <v>42</v>
      </c>
      <c r="G17" t="s">
        <v>1479</v>
      </c>
      <c r="H17" t="s">
        <v>1479</v>
      </c>
      <c r="I17" t="s">
        <v>1442</v>
      </c>
      <c r="J17" t="s">
        <v>1448</v>
      </c>
      <c r="K17" t="s">
        <v>1444</v>
      </c>
      <c r="N17" t="s">
        <v>1480</v>
      </c>
      <c r="O17" t="s">
        <v>1446</v>
      </c>
    </row>
    <row r="18" spans="1:15" x14ac:dyDescent="0.3">
      <c r="A18" t="s">
        <v>421</v>
      </c>
      <c r="B18" t="s">
        <v>1439</v>
      </c>
      <c r="C18" t="s">
        <v>419</v>
      </c>
      <c r="D18" t="s">
        <v>417</v>
      </c>
      <c r="F18" t="s">
        <v>418</v>
      </c>
      <c r="G18" t="s">
        <v>1481</v>
      </c>
      <c r="H18" t="s">
        <v>1482</v>
      </c>
      <c r="I18" t="s">
        <v>1442</v>
      </c>
      <c r="J18" t="s">
        <v>1443</v>
      </c>
      <c r="K18" t="s">
        <v>1483</v>
      </c>
      <c r="L18">
        <v>875000</v>
      </c>
      <c r="M18">
        <v>60</v>
      </c>
      <c r="N18" t="s">
        <v>1484</v>
      </c>
      <c r="O18" t="s">
        <v>1446</v>
      </c>
    </row>
    <row r="19" spans="1:15" x14ac:dyDescent="0.3">
      <c r="A19" t="s">
        <v>69</v>
      </c>
      <c r="B19" t="s">
        <v>1439</v>
      </c>
      <c r="C19" t="s">
        <v>1485</v>
      </c>
      <c r="D19" t="s">
        <v>62</v>
      </c>
      <c r="F19" t="s">
        <v>64</v>
      </c>
      <c r="G19" t="s">
        <v>1452</v>
      </c>
      <c r="H19" t="s">
        <v>1452</v>
      </c>
      <c r="I19" t="s">
        <v>1442</v>
      </c>
      <c r="J19" t="s">
        <v>1443</v>
      </c>
      <c r="K19" t="s">
        <v>1444</v>
      </c>
      <c r="L19">
        <v>130000</v>
      </c>
      <c r="M19">
        <v>48</v>
      </c>
      <c r="N19" t="s">
        <v>1486</v>
      </c>
      <c r="O19" t="s">
        <v>1446</v>
      </c>
    </row>
    <row r="20" spans="1:15" x14ac:dyDescent="0.3">
      <c r="A20" t="s">
        <v>323</v>
      </c>
      <c r="B20" t="s">
        <v>1439</v>
      </c>
      <c r="C20" t="s">
        <v>1487</v>
      </c>
      <c r="D20" t="s">
        <v>128</v>
      </c>
      <c r="F20" t="s">
        <v>318</v>
      </c>
      <c r="G20" t="s">
        <v>1488</v>
      </c>
      <c r="H20" t="s">
        <v>1489</v>
      </c>
      <c r="I20" t="s">
        <v>1442</v>
      </c>
      <c r="J20" t="s">
        <v>1443</v>
      </c>
      <c r="K20" t="s">
        <v>1483</v>
      </c>
      <c r="L20">
        <v>700000</v>
      </c>
      <c r="M20">
        <v>48</v>
      </c>
      <c r="N20" t="s">
        <v>1490</v>
      </c>
      <c r="O20" t="s">
        <v>1446</v>
      </c>
    </row>
    <row r="21" spans="1:15" x14ac:dyDescent="0.3">
      <c r="A21" t="s">
        <v>1049</v>
      </c>
      <c r="B21" t="s">
        <v>1439</v>
      </c>
      <c r="C21" t="s">
        <v>1491</v>
      </c>
      <c r="D21" t="s">
        <v>169</v>
      </c>
      <c r="F21" t="s">
        <v>1044</v>
      </c>
      <c r="G21" t="s">
        <v>1492</v>
      </c>
      <c r="H21" t="s">
        <v>1492</v>
      </c>
      <c r="I21" t="s">
        <v>1442</v>
      </c>
      <c r="J21" t="s">
        <v>1448</v>
      </c>
      <c r="K21" t="s">
        <v>1444</v>
      </c>
      <c r="N21" t="s">
        <v>1493</v>
      </c>
      <c r="O21" t="s">
        <v>1446</v>
      </c>
    </row>
    <row r="22" spans="1:15" x14ac:dyDescent="0.3">
      <c r="A22" t="s">
        <v>978</v>
      </c>
      <c r="B22" t="s">
        <v>1439</v>
      </c>
      <c r="C22" t="s">
        <v>976</v>
      </c>
      <c r="D22" t="s">
        <v>974</v>
      </c>
      <c r="F22" t="s">
        <v>975</v>
      </c>
      <c r="G22" t="s">
        <v>1494</v>
      </c>
      <c r="H22" t="s">
        <v>1495</v>
      </c>
      <c r="I22" t="s">
        <v>1442</v>
      </c>
      <c r="J22" t="s">
        <v>1496</v>
      </c>
      <c r="K22" t="s">
        <v>1444</v>
      </c>
      <c r="L22">
        <v>700000</v>
      </c>
      <c r="M22">
        <v>72</v>
      </c>
      <c r="N22" t="s">
        <v>1497</v>
      </c>
      <c r="O22" t="s">
        <v>1446</v>
      </c>
    </row>
    <row r="23" spans="1:15" x14ac:dyDescent="0.3">
      <c r="A23" t="s">
        <v>496</v>
      </c>
      <c r="B23" t="s">
        <v>1439</v>
      </c>
      <c r="C23" t="s">
        <v>493</v>
      </c>
      <c r="D23" t="s">
        <v>490</v>
      </c>
      <c r="F23" t="s">
        <v>491</v>
      </c>
      <c r="G23" t="s">
        <v>1498</v>
      </c>
      <c r="H23" t="s">
        <v>1498</v>
      </c>
      <c r="I23" t="s">
        <v>1442</v>
      </c>
      <c r="J23" t="s">
        <v>1443</v>
      </c>
      <c r="K23" t="s">
        <v>1444</v>
      </c>
      <c r="M23">
        <v>12</v>
      </c>
      <c r="N23" t="s">
        <v>1499</v>
      </c>
      <c r="O23" t="s">
        <v>1446</v>
      </c>
    </row>
    <row r="24" spans="1:15" x14ac:dyDescent="0.3">
      <c r="A24" t="s">
        <v>964</v>
      </c>
      <c r="B24" t="s">
        <v>1439</v>
      </c>
      <c r="C24" t="s">
        <v>961</v>
      </c>
      <c r="D24" t="s">
        <v>169</v>
      </c>
      <c r="F24" t="s">
        <v>959</v>
      </c>
      <c r="G24" t="s">
        <v>1500</v>
      </c>
      <c r="H24" t="s">
        <v>1501</v>
      </c>
      <c r="I24" t="s">
        <v>1442</v>
      </c>
      <c r="J24" t="s">
        <v>1443</v>
      </c>
      <c r="K24" t="s">
        <v>1444</v>
      </c>
      <c r="M24">
        <v>12</v>
      </c>
      <c r="N24" t="s">
        <v>1502</v>
      </c>
      <c r="O24" t="s">
        <v>1446</v>
      </c>
    </row>
    <row r="25" spans="1:15" x14ac:dyDescent="0.3">
      <c r="A25" t="s">
        <v>184</v>
      </c>
      <c r="B25" t="s">
        <v>1439</v>
      </c>
      <c r="C25" t="s">
        <v>1503</v>
      </c>
      <c r="D25" t="s">
        <v>32</v>
      </c>
      <c r="F25" t="s">
        <v>179</v>
      </c>
      <c r="G25" t="s">
        <v>1504</v>
      </c>
      <c r="H25" t="s">
        <v>1504</v>
      </c>
      <c r="I25" t="s">
        <v>1442</v>
      </c>
      <c r="J25" t="s">
        <v>1443</v>
      </c>
      <c r="K25" t="s">
        <v>1444</v>
      </c>
      <c r="L25">
        <v>41700</v>
      </c>
      <c r="M25">
        <v>6</v>
      </c>
      <c r="N25" t="s">
        <v>1505</v>
      </c>
      <c r="O25" t="s">
        <v>1446</v>
      </c>
    </row>
    <row r="26" spans="1:15" x14ac:dyDescent="0.3">
      <c r="A26" t="s">
        <v>282</v>
      </c>
      <c r="B26" t="s">
        <v>1439</v>
      </c>
      <c r="C26" t="s">
        <v>1506</v>
      </c>
      <c r="D26" t="s">
        <v>278</v>
      </c>
      <c r="F26" t="s">
        <v>279</v>
      </c>
      <c r="G26" t="s">
        <v>1507</v>
      </c>
      <c r="H26" t="s">
        <v>1508</v>
      </c>
      <c r="I26" t="s">
        <v>1442</v>
      </c>
      <c r="J26" t="s">
        <v>1443</v>
      </c>
      <c r="K26" t="s">
        <v>1483</v>
      </c>
      <c r="L26">
        <v>465000</v>
      </c>
      <c r="M26">
        <v>48</v>
      </c>
      <c r="N26" t="s">
        <v>1509</v>
      </c>
      <c r="O26" t="s">
        <v>1446</v>
      </c>
    </row>
    <row r="27" spans="1:15" x14ac:dyDescent="0.3">
      <c r="A27" t="s">
        <v>167</v>
      </c>
      <c r="B27" t="s">
        <v>1439</v>
      </c>
      <c r="C27" t="s">
        <v>165</v>
      </c>
      <c r="D27" t="s">
        <v>163</v>
      </c>
      <c r="F27" t="s">
        <v>164</v>
      </c>
      <c r="G27" t="s">
        <v>1510</v>
      </c>
      <c r="H27" t="s">
        <v>1510</v>
      </c>
      <c r="I27" t="s">
        <v>1442</v>
      </c>
      <c r="J27" t="s">
        <v>1443</v>
      </c>
      <c r="K27" t="s">
        <v>1444</v>
      </c>
      <c r="L27">
        <v>350000</v>
      </c>
      <c r="M27">
        <v>60</v>
      </c>
      <c r="N27" t="s">
        <v>1511</v>
      </c>
      <c r="O27" t="s">
        <v>1446</v>
      </c>
    </row>
    <row r="28" spans="1:15" x14ac:dyDescent="0.3">
      <c r="A28" t="s">
        <v>827</v>
      </c>
      <c r="B28" t="s">
        <v>1439</v>
      </c>
      <c r="C28" t="s">
        <v>825</v>
      </c>
      <c r="D28" t="s">
        <v>823</v>
      </c>
      <c r="F28" t="s">
        <v>824</v>
      </c>
      <c r="G28" t="s">
        <v>1440</v>
      </c>
      <c r="H28" t="s">
        <v>1512</v>
      </c>
      <c r="I28" t="s">
        <v>1442</v>
      </c>
      <c r="J28" t="s">
        <v>1448</v>
      </c>
      <c r="N28" t="s">
        <v>1513</v>
      </c>
      <c r="O28" t="s">
        <v>1446</v>
      </c>
    </row>
    <row r="29" spans="1:15" x14ac:dyDescent="0.3">
      <c r="A29" t="s">
        <v>76</v>
      </c>
      <c r="B29" t="s">
        <v>1439</v>
      </c>
      <c r="C29" t="s">
        <v>74</v>
      </c>
      <c r="D29" t="s">
        <v>72</v>
      </c>
      <c r="F29" t="s">
        <v>73</v>
      </c>
      <c r="G29" t="s">
        <v>1514</v>
      </c>
      <c r="H29" t="s">
        <v>1515</v>
      </c>
      <c r="I29" t="s">
        <v>1442</v>
      </c>
      <c r="J29" t="s">
        <v>1443</v>
      </c>
      <c r="K29" t="s">
        <v>1444</v>
      </c>
      <c r="M29">
        <v>48</v>
      </c>
      <c r="N29" t="s">
        <v>1516</v>
      </c>
      <c r="O29" t="s">
        <v>1446</v>
      </c>
    </row>
    <row r="30" spans="1:15" x14ac:dyDescent="0.3">
      <c r="A30" t="s">
        <v>872</v>
      </c>
      <c r="B30" t="s">
        <v>1439</v>
      </c>
      <c r="C30" t="s">
        <v>247</v>
      </c>
      <c r="D30" t="s">
        <v>361</v>
      </c>
      <c r="F30" t="s">
        <v>867</v>
      </c>
      <c r="G30" t="s">
        <v>1517</v>
      </c>
      <c r="H30" t="s">
        <v>1518</v>
      </c>
      <c r="I30" t="s">
        <v>1442</v>
      </c>
      <c r="J30" t="s">
        <v>1443</v>
      </c>
      <c r="K30" t="s">
        <v>1444</v>
      </c>
      <c r="L30">
        <v>450000</v>
      </c>
      <c r="M30">
        <v>72</v>
      </c>
      <c r="N30" t="s">
        <v>1519</v>
      </c>
      <c r="O30" t="s">
        <v>1446</v>
      </c>
    </row>
    <row r="31" spans="1:15" x14ac:dyDescent="0.3">
      <c r="A31" t="s">
        <v>486</v>
      </c>
      <c r="B31" t="s">
        <v>1439</v>
      </c>
      <c r="C31" t="s">
        <v>1520</v>
      </c>
      <c r="D31" t="s">
        <v>482</v>
      </c>
      <c r="F31" t="s">
        <v>483</v>
      </c>
      <c r="G31" t="s">
        <v>1507</v>
      </c>
      <c r="H31" t="s">
        <v>1507</v>
      </c>
      <c r="I31" t="s">
        <v>1442</v>
      </c>
      <c r="J31" t="s">
        <v>1448</v>
      </c>
      <c r="M31">
        <v>12</v>
      </c>
      <c r="N31" t="s">
        <v>1521</v>
      </c>
      <c r="O31" t="s">
        <v>1446</v>
      </c>
    </row>
    <row r="32" spans="1:15" x14ac:dyDescent="0.3">
      <c r="A32" t="s">
        <v>938</v>
      </c>
      <c r="B32" t="s">
        <v>1439</v>
      </c>
      <c r="C32" t="s">
        <v>936</v>
      </c>
      <c r="D32" t="s">
        <v>934</v>
      </c>
      <c r="F32" t="s">
        <v>935</v>
      </c>
      <c r="G32" t="s">
        <v>1522</v>
      </c>
      <c r="H32" t="s">
        <v>1522</v>
      </c>
      <c r="I32" t="s">
        <v>1442</v>
      </c>
      <c r="J32" t="s">
        <v>1448</v>
      </c>
      <c r="K32" t="s">
        <v>1444</v>
      </c>
      <c r="M32">
        <v>36</v>
      </c>
      <c r="N32" t="s">
        <v>1523</v>
      </c>
      <c r="O32" t="s">
        <v>1446</v>
      </c>
    </row>
    <row r="33" spans="1:15" x14ac:dyDescent="0.3">
      <c r="A33" t="s">
        <v>400</v>
      </c>
      <c r="B33" t="s">
        <v>1439</v>
      </c>
      <c r="C33" t="s">
        <v>397</v>
      </c>
      <c r="D33" t="s">
        <v>394</v>
      </c>
      <c r="F33" t="s">
        <v>395</v>
      </c>
      <c r="G33" t="s">
        <v>1464</v>
      </c>
      <c r="H33" t="s">
        <v>1464</v>
      </c>
      <c r="I33" t="s">
        <v>1442</v>
      </c>
      <c r="J33" t="s">
        <v>1448</v>
      </c>
      <c r="K33" t="s">
        <v>1444</v>
      </c>
      <c r="M33">
        <v>24</v>
      </c>
      <c r="N33" t="s">
        <v>1524</v>
      </c>
      <c r="O33" t="s">
        <v>1446</v>
      </c>
    </row>
    <row r="34" spans="1:15" x14ac:dyDescent="0.3">
      <c r="A34" t="s">
        <v>86</v>
      </c>
      <c r="B34" t="s">
        <v>1439</v>
      </c>
      <c r="C34" t="s">
        <v>83</v>
      </c>
      <c r="D34" t="s">
        <v>80</v>
      </c>
      <c r="F34" t="s">
        <v>81</v>
      </c>
      <c r="G34" t="s">
        <v>1525</v>
      </c>
      <c r="H34" t="s">
        <v>1525</v>
      </c>
      <c r="I34" t="s">
        <v>1442</v>
      </c>
      <c r="J34" t="s">
        <v>1448</v>
      </c>
      <c r="K34" t="s">
        <v>1444</v>
      </c>
      <c r="N34" t="s">
        <v>1526</v>
      </c>
      <c r="O34" t="s">
        <v>1446</v>
      </c>
    </row>
    <row r="35" spans="1:15" x14ac:dyDescent="0.3">
      <c r="A35" t="s">
        <v>597</v>
      </c>
      <c r="B35" t="s">
        <v>1439</v>
      </c>
      <c r="C35" t="s">
        <v>595</v>
      </c>
      <c r="D35" t="s">
        <v>593</v>
      </c>
      <c r="F35" t="s">
        <v>594</v>
      </c>
      <c r="G35" t="s">
        <v>1527</v>
      </c>
      <c r="H35" t="s">
        <v>1527</v>
      </c>
      <c r="I35" t="s">
        <v>1442</v>
      </c>
      <c r="J35" t="s">
        <v>1448</v>
      </c>
      <c r="M35">
        <v>48</v>
      </c>
      <c r="N35" t="s">
        <v>1528</v>
      </c>
      <c r="O35" t="s">
        <v>1446</v>
      </c>
    </row>
    <row r="36" spans="1:15" x14ac:dyDescent="0.3">
      <c r="A36" t="s">
        <v>149</v>
      </c>
      <c r="B36" t="s">
        <v>1439</v>
      </c>
      <c r="C36" t="s">
        <v>147</v>
      </c>
      <c r="D36" t="s">
        <v>145</v>
      </c>
      <c r="F36" t="s">
        <v>146</v>
      </c>
      <c r="G36" t="s">
        <v>1529</v>
      </c>
      <c r="H36" t="s">
        <v>1529</v>
      </c>
      <c r="I36" t="s">
        <v>1442</v>
      </c>
      <c r="J36" t="s">
        <v>1443</v>
      </c>
      <c r="N36" t="s">
        <v>1530</v>
      </c>
      <c r="O36" t="s">
        <v>1446</v>
      </c>
    </row>
    <row r="37" spans="1:15" x14ac:dyDescent="0.3">
      <c r="A37" t="s">
        <v>250</v>
      </c>
      <c r="B37" t="s">
        <v>1439</v>
      </c>
      <c r="C37" t="s">
        <v>1531</v>
      </c>
      <c r="D37" t="s">
        <v>244</v>
      </c>
      <c r="F37" t="s">
        <v>245</v>
      </c>
      <c r="G37" t="s">
        <v>1532</v>
      </c>
      <c r="H37" t="s">
        <v>1532</v>
      </c>
      <c r="I37" t="s">
        <v>1442</v>
      </c>
      <c r="J37" t="s">
        <v>1443</v>
      </c>
      <c r="K37" t="s">
        <v>1444</v>
      </c>
      <c r="N37" t="s">
        <v>1533</v>
      </c>
      <c r="O37" t="s">
        <v>1446</v>
      </c>
    </row>
    <row r="38" spans="1:15" x14ac:dyDescent="0.3">
      <c r="A38" t="s">
        <v>1056</v>
      </c>
      <c r="B38" t="s">
        <v>1439</v>
      </c>
      <c r="C38" t="s">
        <v>1534</v>
      </c>
      <c r="D38" t="s">
        <v>1052</v>
      </c>
      <c r="F38" t="s">
        <v>1053</v>
      </c>
      <c r="G38" t="s">
        <v>1535</v>
      </c>
      <c r="H38" t="s">
        <v>1536</v>
      </c>
      <c r="I38" t="s">
        <v>1442</v>
      </c>
      <c r="J38" t="s">
        <v>1443</v>
      </c>
      <c r="N38" t="s">
        <v>1537</v>
      </c>
      <c r="O38" t="s">
        <v>1446</v>
      </c>
    </row>
    <row r="39" spans="1:15" x14ac:dyDescent="0.3">
      <c r="A39" t="s">
        <v>833</v>
      </c>
      <c r="B39" t="s">
        <v>1439</v>
      </c>
      <c r="C39" t="s">
        <v>831</v>
      </c>
      <c r="D39" t="s">
        <v>527</v>
      </c>
      <c r="F39" t="s">
        <v>829</v>
      </c>
      <c r="G39" t="s">
        <v>1538</v>
      </c>
      <c r="H39" t="s">
        <v>1538</v>
      </c>
      <c r="I39" t="s">
        <v>1442</v>
      </c>
      <c r="J39" t="s">
        <v>1539</v>
      </c>
      <c r="N39" t="s">
        <v>1540</v>
      </c>
      <c r="O39" t="s">
        <v>1446</v>
      </c>
    </row>
    <row r="40" spans="1:15" x14ac:dyDescent="0.3">
      <c r="A40" t="s">
        <v>840</v>
      </c>
      <c r="B40" t="s">
        <v>1439</v>
      </c>
      <c r="C40" t="s">
        <v>838</v>
      </c>
      <c r="D40" t="s">
        <v>836</v>
      </c>
      <c r="F40" t="s">
        <v>837</v>
      </c>
      <c r="G40" t="s">
        <v>1471</v>
      </c>
      <c r="H40" t="s">
        <v>1471</v>
      </c>
      <c r="I40" t="s">
        <v>1442</v>
      </c>
      <c r="J40" t="s">
        <v>1448</v>
      </c>
      <c r="K40" t="s">
        <v>1444</v>
      </c>
      <c r="M40">
        <v>14</v>
      </c>
      <c r="N40" t="s">
        <v>1541</v>
      </c>
      <c r="O40" t="s">
        <v>1446</v>
      </c>
    </row>
    <row r="41" spans="1:15" x14ac:dyDescent="0.3">
      <c r="A41" t="s">
        <v>803</v>
      </c>
      <c r="B41" t="s">
        <v>1439</v>
      </c>
      <c r="C41" t="s">
        <v>800</v>
      </c>
      <c r="D41" t="s">
        <v>797</v>
      </c>
      <c r="F41" t="s">
        <v>798</v>
      </c>
      <c r="G41" t="s">
        <v>1440</v>
      </c>
      <c r="H41" t="s">
        <v>1542</v>
      </c>
      <c r="I41" t="s">
        <v>1442</v>
      </c>
      <c r="J41" t="s">
        <v>1448</v>
      </c>
      <c r="K41" t="s">
        <v>1444</v>
      </c>
      <c r="N41" t="s">
        <v>1543</v>
      </c>
      <c r="O41" t="s">
        <v>1446</v>
      </c>
    </row>
    <row r="42" spans="1:15" x14ac:dyDescent="0.3">
      <c r="A42" t="s">
        <v>894</v>
      </c>
      <c r="B42" t="s">
        <v>1439</v>
      </c>
      <c r="C42" t="s">
        <v>893</v>
      </c>
      <c r="D42" t="s">
        <v>891</v>
      </c>
      <c r="F42" t="s">
        <v>892</v>
      </c>
      <c r="G42" t="s">
        <v>1544</v>
      </c>
      <c r="H42" t="s">
        <v>1544</v>
      </c>
      <c r="I42" t="s">
        <v>1442</v>
      </c>
      <c r="J42" t="s">
        <v>1443</v>
      </c>
      <c r="K42" t="s">
        <v>1483</v>
      </c>
      <c r="L42">
        <v>220000</v>
      </c>
      <c r="M42">
        <v>39</v>
      </c>
      <c r="N42" t="s">
        <v>1545</v>
      </c>
      <c r="O42" t="s">
        <v>1446</v>
      </c>
    </row>
    <row r="43" spans="1:15" x14ac:dyDescent="0.3">
      <c r="A43" t="s">
        <v>555</v>
      </c>
      <c r="B43" t="s">
        <v>1439</v>
      </c>
      <c r="C43" t="s">
        <v>553</v>
      </c>
      <c r="D43" t="s">
        <v>490</v>
      </c>
      <c r="F43" t="s">
        <v>492</v>
      </c>
      <c r="G43" t="s">
        <v>1546</v>
      </c>
      <c r="H43" t="s">
        <v>1547</v>
      </c>
      <c r="I43" t="s">
        <v>1442</v>
      </c>
      <c r="J43" t="s">
        <v>1548</v>
      </c>
      <c r="K43" t="s">
        <v>1444</v>
      </c>
      <c r="M43">
        <v>24</v>
      </c>
      <c r="N43" t="s">
        <v>1549</v>
      </c>
      <c r="O43" t="s">
        <v>1446</v>
      </c>
    </row>
    <row r="44" spans="1:15" x14ac:dyDescent="0.3">
      <c r="A44" t="s">
        <v>579</v>
      </c>
      <c r="B44" t="s">
        <v>1439</v>
      </c>
      <c r="C44" t="s">
        <v>576</v>
      </c>
      <c r="D44" t="s">
        <v>573</v>
      </c>
      <c r="F44" t="s">
        <v>574</v>
      </c>
      <c r="G44" t="s">
        <v>1550</v>
      </c>
      <c r="H44" t="s">
        <v>1550</v>
      </c>
      <c r="I44" t="s">
        <v>1442</v>
      </c>
      <c r="J44" t="s">
        <v>1448</v>
      </c>
      <c r="N44" t="s">
        <v>1551</v>
      </c>
      <c r="O44" t="s">
        <v>1446</v>
      </c>
    </row>
    <row r="45" spans="1:15" x14ac:dyDescent="0.3">
      <c r="A45" t="s">
        <v>223</v>
      </c>
      <c r="B45" t="s">
        <v>1439</v>
      </c>
      <c r="C45" t="s">
        <v>1552</v>
      </c>
      <c r="D45" t="s">
        <v>32</v>
      </c>
      <c r="F45" t="s">
        <v>219</v>
      </c>
      <c r="G45" t="s">
        <v>1553</v>
      </c>
      <c r="H45" t="s">
        <v>1553</v>
      </c>
      <c r="I45" t="s">
        <v>1442</v>
      </c>
      <c r="J45" t="s">
        <v>1443</v>
      </c>
      <c r="K45" t="s">
        <v>1444</v>
      </c>
      <c r="M45">
        <v>12</v>
      </c>
      <c r="N45" t="s">
        <v>1554</v>
      </c>
      <c r="O45" t="s">
        <v>1446</v>
      </c>
    </row>
    <row r="46" spans="1:15" x14ac:dyDescent="0.3">
      <c r="A46" t="s">
        <v>533</v>
      </c>
      <c r="B46" t="s">
        <v>1439</v>
      </c>
      <c r="C46" t="s">
        <v>963</v>
      </c>
      <c r="D46" t="s">
        <v>527</v>
      </c>
      <c r="F46" t="s">
        <v>528</v>
      </c>
      <c r="G46" t="s">
        <v>1553</v>
      </c>
      <c r="H46" t="s">
        <v>1553</v>
      </c>
      <c r="I46" t="s">
        <v>1442</v>
      </c>
      <c r="J46" t="s">
        <v>1548</v>
      </c>
      <c r="K46" t="s">
        <v>1444</v>
      </c>
      <c r="M46">
        <v>24</v>
      </c>
      <c r="N46" t="s">
        <v>1555</v>
      </c>
      <c r="O46" t="s">
        <v>1446</v>
      </c>
    </row>
    <row r="47" spans="1:15" x14ac:dyDescent="0.3">
      <c r="A47" t="s">
        <v>1068</v>
      </c>
      <c r="B47" t="s">
        <v>1439</v>
      </c>
      <c r="C47" t="s">
        <v>1065</v>
      </c>
      <c r="D47" t="s">
        <v>112</v>
      </c>
      <c r="F47" t="s">
        <v>1063</v>
      </c>
      <c r="G47" t="s">
        <v>1556</v>
      </c>
      <c r="H47" t="s">
        <v>1556</v>
      </c>
      <c r="I47" t="s">
        <v>1442</v>
      </c>
      <c r="J47" t="s">
        <v>1443</v>
      </c>
      <c r="K47" t="s">
        <v>1483</v>
      </c>
      <c r="M47">
        <v>36</v>
      </c>
      <c r="N47" t="s">
        <v>1557</v>
      </c>
      <c r="O47" t="s">
        <v>1446</v>
      </c>
    </row>
    <row r="48" spans="1:15" x14ac:dyDescent="0.3">
      <c r="A48" t="s">
        <v>675</v>
      </c>
      <c r="B48" t="s">
        <v>1439</v>
      </c>
      <c r="C48" t="s">
        <v>672</v>
      </c>
      <c r="D48" t="s">
        <v>32</v>
      </c>
      <c r="F48" t="s">
        <v>670</v>
      </c>
      <c r="G48" t="s">
        <v>1558</v>
      </c>
      <c r="H48" t="s">
        <v>1558</v>
      </c>
      <c r="I48" t="s">
        <v>1442</v>
      </c>
      <c r="J48" t="s">
        <v>1448</v>
      </c>
      <c r="K48" t="s">
        <v>1444</v>
      </c>
      <c r="M48">
        <v>36</v>
      </c>
      <c r="N48" t="s">
        <v>1559</v>
      </c>
      <c r="O48" t="s">
        <v>1446</v>
      </c>
    </row>
    <row r="49" spans="1:15" x14ac:dyDescent="0.3">
      <c r="A49" t="s">
        <v>1095</v>
      </c>
      <c r="B49" t="s">
        <v>1439</v>
      </c>
      <c r="C49" t="s">
        <v>1092</v>
      </c>
      <c r="D49" t="s">
        <v>1088</v>
      </c>
      <c r="F49" t="s">
        <v>1090</v>
      </c>
      <c r="G49" t="s">
        <v>1473</v>
      </c>
      <c r="H49" t="s">
        <v>1473</v>
      </c>
      <c r="I49" t="s">
        <v>1442</v>
      </c>
      <c r="J49" t="s">
        <v>1448</v>
      </c>
      <c r="K49" t="s">
        <v>1444</v>
      </c>
      <c r="N49" t="s">
        <v>1560</v>
      </c>
      <c r="O49" t="s">
        <v>1446</v>
      </c>
    </row>
    <row r="50" spans="1:15" x14ac:dyDescent="0.3">
      <c r="A50" t="s">
        <v>820</v>
      </c>
      <c r="B50" t="s">
        <v>1439</v>
      </c>
      <c r="C50" t="s">
        <v>1561</v>
      </c>
      <c r="D50" t="s">
        <v>814</v>
      </c>
      <c r="F50" t="s">
        <v>815</v>
      </c>
      <c r="G50" t="s">
        <v>1452</v>
      </c>
      <c r="H50" t="s">
        <v>1562</v>
      </c>
      <c r="I50" t="s">
        <v>1442</v>
      </c>
      <c r="J50" t="s">
        <v>1443</v>
      </c>
      <c r="K50" t="s">
        <v>1444</v>
      </c>
      <c r="M50">
        <v>48</v>
      </c>
      <c r="N50" t="s">
        <v>1563</v>
      </c>
      <c r="O50" t="s">
        <v>1446</v>
      </c>
    </row>
    <row r="51" spans="1:15" x14ac:dyDescent="0.3">
      <c r="A51" t="s">
        <v>461</v>
      </c>
      <c r="B51" t="s">
        <v>1439</v>
      </c>
      <c r="C51" t="s">
        <v>1564</v>
      </c>
      <c r="D51" t="s">
        <v>128</v>
      </c>
      <c r="F51" t="s">
        <v>456</v>
      </c>
      <c r="G51" t="s">
        <v>1452</v>
      </c>
      <c r="H51" t="s">
        <v>1452</v>
      </c>
      <c r="I51" t="s">
        <v>1442</v>
      </c>
      <c r="J51" t="s">
        <v>1548</v>
      </c>
      <c r="K51" t="s">
        <v>1444</v>
      </c>
      <c r="M51">
        <v>60</v>
      </c>
      <c r="N51" t="s">
        <v>1565</v>
      </c>
      <c r="O51" t="s">
        <v>1446</v>
      </c>
    </row>
    <row r="52" spans="1:15" x14ac:dyDescent="0.3">
      <c r="A52" t="s">
        <v>99</v>
      </c>
      <c r="B52" t="s">
        <v>1439</v>
      </c>
      <c r="C52" t="s">
        <v>97</v>
      </c>
      <c r="D52" t="s">
        <v>95</v>
      </c>
      <c r="F52" t="s">
        <v>96</v>
      </c>
      <c r="G52" t="s">
        <v>1566</v>
      </c>
      <c r="H52" t="s">
        <v>1567</v>
      </c>
      <c r="I52" t="s">
        <v>1442</v>
      </c>
      <c r="J52" t="s">
        <v>1448</v>
      </c>
      <c r="M52">
        <v>54</v>
      </c>
      <c r="N52" t="s">
        <v>1568</v>
      </c>
      <c r="O52" t="s">
        <v>1446</v>
      </c>
    </row>
    <row r="53" spans="1:15" x14ac:dyDescent="0.3">
      <c r="A53" t="s">
        <v>176</v>
      </c>
      <c r="B53" t="s">
        <v>1439</v>
      </c>
      <c r="C53" t="s">
        <v>1569</v>
      </c>
      <c r="D53" t="s">
        <v>169</v>
      </c>
      <c r="F53" t="s">
        <v>171</v>
      </c>
      <c r="G53" t="s">
        <v>1570</v>
      </c>
      <c r="H53" t="s">
        <v>1571</v>
      </c>
      <c r="I53" t="s">
        <v>1442</v>
      </c>
      <c r="J53" t="s">
        <v>1443</v>
      </c>
      <c r="K53" t="s">
        <v>1483</v>
      </c>
      <c r="L53">
        <v>100000</v>
      </c>
      <c r="M53">
        <v>48</v>
      </c>
      <c r="N53" t="s">
        <v>1572</v>
      </c>
      <c r="O53" t="s">
        <v>1446</v>
      </c>
    </row>
    <row r="54" spans="1:15" x14ac:dyDescent="0.3">
      <c r="A54" t="s">
        <v>161</v>
      </c>
      <c r="B54" t="s">
        <v>1439</v>
      </c>
      <c r="C54" t="s">
        <v>159</v>
      </c>
      <c r="D54" t="s">
        <v>157</v>
      </c>
      <c r="F54" t="s">
        <v>158</v>
      </c>
      <c r="G54" t="s">
        <v>1538</v>
      </c>
      <c r="H54" t="s">
        <v>1538</v>
      </c>
      <c r="I54" t="s">
        <v>1442</v>
      </c>
      <c r="J54" t="s">
        <v>1448</v>
      </c>
      <c r="K54" t="s">
        <v>1444</v>
      </c>
      <c r="N54" t="s">
        <v>1573</v>
      </c>
      <c r="O54" t="s">
        <v>1446</v>
      </c>
    </row>
    <row r="55" spans="1:15" x14ac:dyDescent="0.3">
      <c r="A55" t="s">
        <v>117</v>
      </c>
      <c r="B55" t="s">
        <v>1439</v>
      </c>
      <c r="C55" t="s">
        <v>1574</v>
      </c>
      <c r="D55" t="s">
        <v>112</v>
      </c>
      <c r="F55" t="s">
        <v>113</v>
      </c>
      <c r="G55" t="s">
        <v>1450</v>
      </c>
      <c r="H55" t="s">
        <v>1450</v>
      </c>
      <c r="I55" t="s">
        <v>1442</v>
      </c>
      <c r="J55" t="s">
        <v>1443</v>
      </c>
      <c r="K55" t="s">
        <v>1444</v>
      </c>
      <c r="M55">
        <v>36</v>
      </c>
      <c r="N55" t="s">
        <v>1575</v>
      </c>
      <c r="O55" t="s">
        <v>1446</v>
      </c>
    </row>
    <row r="56" spans="1:15" x14ac:dyDescent="0.3">
      <c r="A56" t="s">
        <v>93</v>
      </c>
      <c r="B56" t="s">
        <v>1439</v>
      </c>
      <c r="C56" t="s">
        <v>91</v>
      </c>
      <c r="D56" t="s">
        <v>89</v>
      </c>
      <c r="F56" t="s">
        <v>90</v>
      </c>
      <c r="G56" t="s">
        <v>1473</v>
      </c>
      <c r="H56" t="s">
        <v>1473</v>
      </c>
      <c r="I56" t="s">
        <v>1442</v>
      </c>
      <c r="J56" t="s">
        <v>1539</v>
      </c>
      <c r="K56" t="s">
        <v>1444</v>
      </c>
      <c r="L56">
        <v>4000000</v>
      </c>
      <c r="M56">
        <v>24</v>
      </c>
      <c r="N56" t="s">
        <v>1576</v>
      </c>
      <c r="O56" t="s">
        <v>1446</v>
      </c>
    </row>
    <row r="57" spans="1:15" x14ac:dyDescent="0.3">
      <c r="A57" t="s">
        <v>1024</v>
      </c>
      <c r="B57" t="s">
        <v>1439</v>
      </c>
      <c r="C57" t="s">
        <v>1577</v>
      </c>
      <c r="D57" t="s">
        <v>62</v>
      </c>
      <c r="F57" t="s">
        <v>1020</v>
      </c>
      <c r="G57" t="s">
        <v>1578</v>
      </c>
      <c r="H57" t="s">
        <v>1578</v>
      </c>
      <c r="I57" t="s">
        <v>1442</v>
      </c>
      <c r="J57" t="s">
        <v>1443</v>
      </c>
      <c r="K57" t="s">
        <v>1483</v>
      </c>
      <c r="N57" t="s">
        <v>1579</v>
      </c>
      <c r="O57" t="s">
        <v>1446</v>
      </c>
    </row>
    <row r="58" spans="1:15" x14ac:dyDescent="0.3">
      <c r="A58" t="s">
        <v>888</v>
      </c>
      <c r="B58" t="s">
        <v>1439</v>
      </c>
      <c r="C58" t="s">
        <v>1580</v>
      </c>
      <c r="D58" t="s">
        <v>32</v>
      </c>
      <c r="F58" t="s">
        <v>883</v>
      </c>
      <c r="G58" t="s">
        <v>1464</v>
      </c>
      <c r="H58" t="s">
        <v>1464</v>
      </c>
      <c r="I58" t="s">
        <v>1442</v>
      </c>
      <c r="J58" t="s">
        <v>1443</v>
      </c>
      <c r="K58" t="s">
        <v>1444</v>
      </c>
      <c r="M58">
        <v>48</v>
      </c>
      <c r="N58" t="s">
        <v>1581</v>
      </c>
      <c r="O58" t="s">
        <v>1446</v>
      </c>
    </row>
    <row r="59" spans="1:15" x14ac:dyDescent="0.3">
      <c r="A59" t="s">
        <v>134</v>
      </c>
      <c r="B59" t="s">
        <v>1439</v>
      </c>
      <c r="C59" t="s">
        <v>131</v>
      </c>
      <c r="D59" t="s">
        <v>128</v>
      </c>
      <c r="F59" t="s">
        <v>129</v>
      </c>
      <c r="G59" t="s">
        <v>1504</v>
      </c>
      <c r="H59" t="s">
        <v>1504</v>
      </c>
      <c r="I59" t="s">
        <v>1442</v>
      </c>
      <c r="J59" t="s">
        <v>1448</v>
      </c>
      <c r="N59" t="s">
        <v>1582</v>
      </c>
      <c r="O59" t="s">
        <v>1446</v>
      </c>
    </row>
    <row r="60" spans="1:15" x14ac:dyDescent="0.3">
      <c r="A60" t="s">
        <v>570</v>
      </c>
      <c r="B60" t="s">
        <v>1439</v>
      </c>
      <c r="C60" t="s">
        <v>568</v>
      </c>
      <c r="D60" t="s">
        <v>32</v>
      </c>
      <c r="F60" t="s">
        <v>566</v>
      </c>
      <c r="G60" t="s">
        <v>1452</v>
      </c>
      <c r="H60" t="s">
        <v>1452</v>
      </c>
      <c r="I60" t="s">
        <v>1442</v>
      </c>
      <c r="J60" t="s">
        <v>1443</v>
      </c>
      <c r="K60" t="s">
        <v>1444</v>
      </c>
      <c r="M60">
        <v>24</v>
      </c>
      <c r="N60" t="s">
        <v>1583</v>
      </c>
      <c r="O60" t="s">
        <v>1446</v>
      </c>
    </row>
    <row r="61" spans="1:15" x14ac:dyDescent="0.3">
      <c r="A61" t="s">
        <v>142</v>
      </c>
      <c r="B61" t="s">
        <v>1439</v>
      </c>
      <c r="C61" t="s">
        <v>1584</v>
      </c>
      <c r="D61" t="s">
        <v>41</v>
      </c>
      <c r="F61" t="s">
        <v>137</v>
      </c>
      <c r="G61" t="s">
        <v>1450</v>
      </c>
      <c r="H61" t="s">
        <v>1450</v>
      </c>
      <c r="I61" t="s">
        <v>1442</v>
      </c>
      <c r="J61" t="s">
        <v>1443</v>
      </c>
      <c r="K61" t="s">
        <v>1444</v>
      </c>
      <c r="M61">
        <v>48</v>
      </c>
      <c r="N61" t="s">
        <v>1585</v>
      </c>
      <c r="O61" t="s">
        <v>1446</v>
      </c>
    </row>
    <row r="62" spans="1:15" x14ac:dyDescent="0.3">
      <c r="A62" t="s">
        <v>60</v>
      </c>
      <c r="B62" t="s">
        <v>1439</v>
      </c>
      <c r="C62" t="s">
        <v>58</v>
      </c>
      <c r="D62" t="s">
        <v>56</v>
      </c>
      <c r="F62" t="s">
        <v>57</v>
      </c>
      <c r="G62" t="s">
        <v>1586</v>
      </c>
      <c r="H62" t="s">
        <v>1586</v>
      </c>
      <c r="I62" t="s">
        <v>1442</v>
      </c>
      <c r="J62" t="s">
        <v>1448</v>
      </c>
      <c r="N62" t="s">
        <v>1587</v>
      </c>
      <c r="O62" t="s">
        <v>1446</v>
      </c>
    </row>
    <row r="63" spans="1:15" x14ac:dyDescent="0.3">
      <c r="A63" t="s">
        <v>523</v>
      </c>
      <c r="B63" t="s">
        <v>1439</v>
      </c>
      <c r="C63" t="s">
        <v>1588</v>
      </c>
      <c r="D63" t="s">
        <v>519</v>
      </c>
      <c r="F63" t="s">
        <v>520</v>
      </c>
      <c r="G63" t="s">
        <v>1589</v>
      </c>
      <c r="H63" t="s">
        <v>1590</v>
      </c>
      <c r="I63" t="s">
        <v>1442</v>
      </c>
      <c r="J63" t="s">
        <v>1443</v>
      </c>
      <c r="K63" t="s">
        <v>1444</v>
      </c>
      <c r="M63">
        <v>12</v>
      </c>
      <c r="N63" t="s">
        <v>1591</v>
      </c>
      <c r="O63" t="s">
        <v>1446</v>
      </c>
    </row>
    <row r="64" spans="1:15" x14ac:dyDescent="0.3">
      <c r="A64" t="s">
        <v>503</v>
      </c>
      <c r="B64" t="s">
        <v>1439</v>
      </c>
      <c r="C64" t="s">
        <v>501</v>
      </c>
      <c r="D64" t="s">
        <v>128</v>
      </c>
      <c r="F64" t="s">
        <v>499</v>
      </c>
      <c r="G64" t="s">
        <v>1510</v>
      </c>
      <c r="H64" t="s">
        <v>1510</v>
      </c>
      <c r="I64" t="s">
        <v>1442</v>
      </c>
      <c r="J64" t="s">
        <v>1443</v>
      </c>
      <c r="K64" t="s">
        <v>1444</v>
      </c>
      <c r="M64">
        <v>48</v>
      </c>
      <c r="N64" t="s">
        <v>1592</v>
      </c>
      <c r="O64" t="s">
        <v>1446</v>
      </c>
    </row>
    <row r="65" spans="1:15" x14ac:dyDescent="0.3">
      <c r="A65" t="s">
        <v>619</v>
      </c>
      <c r="B65" t="s">
        <v>1439</v>
      </c>
      <c r="C65" t="s">
        <v>616</v>
      </c>
      <c r="D65" t="s">
        <v>613</v>
      </c>
      <c r="F65" t="s">
        <v>614</v>
      </c>
      <c r="G65" t="s">
        <v>1522</v>
      </c>
      <c r="H65" t="s">
        <v>1593</v>
      </c>
      <c r="I65" t="s">
        <v>1442</v>
      </c>
      <c r="J65" t="s">
        <v>1443</v>
      </c>
      <c r="K65" t="s">
        <v>1483</v>
      </c>
      <c r="L65">
        <v>976500</v>
      </c>
      <c r="M65">
        <v>24</v>
      </c>
      <c r="N65" t="s">
        <v>1594</v>
      </c>
      <c r="O65" t="s">
        <v>1446</v>
      </c>
    </row>
    <row r="66" spans="1:15" x14ac:dyDescent="0.3">
      <c r="A66" t="s">
        <v>414</v>
      </c>
      <c r="B66" t="s">
        <v>1439</v>
      </c>
      <c r="C66" t="s">
        <v>411</v>
      </c>
      <c r="D66" t="s">
        <v>32</v>
      </c>
      <c r="F66" t="s">
        <v>409</v>
      </c>
      <c r="G66" t="s">
        <v>1510</v>
      </c>
      <c r="H66" t="s">
        <v>1510</v>
      </c>
      <c r="I66" t="s">
        <v>1442</v>
      </c>
      <c r="J66" t="s">
        <v>1443</v>
      </c>
      <c r="K66" t="s">
        <v>1444</v>
      </c>
      <c r="M66">
        <v>24</v>
      </c>
      <c r="N66" t="s">
        <v>1595</v>
      </c>
      <c r="O66" t="s">
        <v>1446</v>
      </c>
    </row>
    <row r="67" spans="1:15" x14ac:dyDescent="0.3">
      <c r="A67" t="s">
        <v>710</v>
      </c>
      <c r="B67" t="s">
        <v>1439</v>
      </c>
      <c r="C67" t="s">
        <v>707</v>
      </c>
      <c r="D67" t="s">
        <v>704</v>
      </c>
      <c r="F67" t="s">
        <v>705</v>
      </c>
      <c r="G67" t="s">
        <v>1558</v>
      </c>
      <c r="H67" t="s">
        <v>1558</v>
      </c>
      <c r="I67" t="s">
        <v>1442</v>
      </c>
      <c r="J67" t="s">
        <v>1448</v>
      </c>
      <c r="K67" t="s">
        <v>1444</v>
      </c>
      <c r="M67">
        <v>48</v>
      </c>
      <c r="N67" t="s">
        <v>1596</v>
      </c>
      <c r="O67" t="s">
        <v>1446</v>
      </c>
    </row>
    <row r="68" spans="1:15" x14ac:dyDescent="0.3">
      <c r="A68" t="s">
        <v>752</v>
      </c>
      <c r="B68" t="s">
        <v>1439</v>
      </c>
      <c r="C68" t="s">
        <v>1597</v>
      </c>
      <c r="D68" t="s">
        <v>343</v>
      </c>
      <c r="F68" t="s">
        <v>749</v>
      </c>
      <c r="G68" t="s">
        <v>1598</v>
      </c>
      <c r="H68" t="s">
        <v>1599</v>
      </c>
      <c r="I68" t="s">
        <v>1442</v>
      </c>
      <c r="J68" t="s">
        <v>1443</v>
      </c>
      <c r="K68" t="s">
        <v>1483</v>
      </c>
      <c r="M68">
        <v>12</v>
      </c>
      <c r="N68" t="s">
        <v>1600</v>
      </c>
      <c r="O68" t="s">
        <v>1446</v>
      </c>
    </row>
    <row r="69" spans="1:15" x14ac:dyDescent="0.3">
      <c r="A69" t="s">
        <v>308</v>
      </c>
      <c r="B69" t="s">
        <v>1601</v>
      </c>
      <c r="C69" t="s">
        <v>306</v>
      </c>
      <c r="D69" t="s">
        <v>301</v>
      </c>
      <c r="F69" t="s">
        <v>303</v>
      </c>
      <c r="G69" t="s">
        <v>1440</v>
      </c>
      <c r="H69" t="s">
        <v>1602</v>
      </c>
      <c r="I69" t="s">
        <v>1442</v>
      </c>
      <c r="J69" t="s">
        <v>1448</v>
      </c>
      <c r="K69" t="s">
        <v>1483</v>
      </c>
      <c r="N69" t="s">
        <v>1603</v>
      </c>
      <c r="O69" t="s">
        <v>1446</v>
      </c>
    </row>
    <row r="70" spans="1:15" x14ac:dyDescent="0.3">
      <c r="A70" t="s">
        <v>783</v>
      </c>
      <c r="B70" t="s">
        <v>1439</v>
      </c>
      <c r="C70" t="s">
        <v>781</v>
      </c>
      <c r="D70" t="s">
        <v>334</v>
      </c>
      <c r="F70" t="s">
        <v>779</v>
      </c>
      <c r="G70" t="s">
        <v>1546</v>
      </c>
      <c r="H70" t="s">
        <v>1604</v>
      </c>
      <c r="I70" t="s">
        <v>1442</v>
      </c>
      <c r="J70" t="s">
        <v>1443</v>
      </c>
      <c r="K70" t="s">
        <v>1444</v>
      </c>
      <c r="L70">
        <v>2000000</v>
      </c>
      <c r="M70">
        <v>48</v>
      </c>
      <c r="N70" t="s">
        <v>1605</v>
      </c>
      <c r="O70" t="s">
        <v>1446</v>
      </c>
    </row>
    <row r="71" spans="1:15" x14ac:dyDescent="0.3">
      <c r="A71" t="s">
        <v>429</v>
      </c>
      <c r="B71" t="s">
        <v>1439</v>
      </c>
      <c r="C71" t="s">
        <v>426</v>
      </c>
      <c r="D71" t="s">
        <v>423</v>
      </c>
      <c r="F71" t="s">
        <v>424</v>
      </c>
      <c r="G71" t="s">
        <v>1450</v>
      </c>
      <c r="H71" t="s">
        <v>1450</v>
      </c>
      <c r="I71" t="s">
        <v>1442</v>
      </c>
      <c r="J71" t="s">
        <v>1443</v>
      </c>
      <c r="K71" t="s">
        <v>1444</v>
      </c>
      <c r="M71">
        <v>12</v>
      </c>
      <c r="N71" t="s">
        <v>1606</v>
      </c>
      <c r="O71" t="s">
        <v>1446</v>
      </c>
    </row>
    <row r="72" spans="1:15" x14ac:dyDescent="0.3">
      <c r="A72" t="s">
        <v>1061</v>
      </c>
      <c r="B72" t="s">
        <v>1439</v>
      </c>
      <c r="C72" t="s">
        <v>1059</v>
      </c>
      <c r="D72" t="s">
        <v>394</v>
      </c>
      <c r="F72" t="s">
        <v>1058</v>
      </c>
      <c r="G72" t="s">
        <v>1607</v>
      </c>
      <c r="H72" t="s">
        <v>1607</v>
      </c>
      <c r="I72" t="s">
        <v>1442</v>
      </c>
      <c r="J72" t="s">
        <v>1448</v>
      </c>
      <c r="K72" t="s">
        <v>1483</v>
      </c>
      <c r="N72" t="s">
        <v>1608</v>
      </c>
      <c r="O72" t="s">
        <v>1446</v>
      </c>
    </row>
    <row r="73" spans="1:15" x14ac:dyDescent="0.3">
      <c r="A73" t="s">
        <v>790</v>
      </c>
      <c r="B73" t="s">
        <v>1439</v>
      </c>
      <c r="C73" t="s">
        <v>788</v>
      </c>
      <c r="D73" t="s">
        <v>128</v>
      </c>
      <c r="F73" t="s">
        <v>786</v>
      </c>
      <c r="G73" t="s">
        <v>1452</v>
      </c>
      <c r="H73" t="s">
        <v>1452</v>
      </c>
      <c r="I73" t="s">
        <v>1442</v>
      </c>
      <c r="J73" t="s">
        <v>1448</v>
      </c>
      <c r="K73" t="s">
        <v>1483</v>
      </c>
      <c r="M73">
        <v>48</v>
      </c>
      <c r="N73" t="s">
        <v>1609</v>
      </c>
      <c r="O73" t="s">
        <v>1446</v>
      </c>
    </row>
    <row r="74" spans="1:15" x14ac:dyDescent="0.3">
      <c r="A74" t="s">
        <v>914</v>
      </c>
      <c r="B74" t="s">
        <v>1439</v>
      </c>
      <c r="C74" t="s">
        <v>912</v>
      </c>
      <c r="D74" t="s">
        <v>394</v>
      </c>
      <c r="F74" t="s">
        <v>911</v>
      </c>
      <c r="G74" t="s">
        <v>1610</v>
      </c>
      <c r="H74" t="s">
        <v>1610</v>
      </c>
      <c r="I74" t="s">
        <v>1442</v>
      </c>
      <c r="J74" t="s">
        <v>1448</v>
      </c>
      <c r="K74" t="s">
        <v>1444</v>
      </c>
      <c r="L74">
        <v>40000</v>
      </c>
      <c r="M74">
        <v>36</v>
      </c>
      <c r="N74" t="s">
        <v>1611</v>
      </c>
      <c r="O74" t="s">
        <v>1446</v>
      </c>
    </row>
    <row r="75" spans="1:15" x14ac:dyDescent="0.3">
      <c r="A75" t="s">
        <v>430</v>
      </c>
      <c r="B75" t="s">
        <v>1601</v>
      </c>
      <c r="C75" t="s">
        <v>428</v>
      </c>
      <c r="D75" t="s">
        <v>423</v>
      </c>
      <c r="F75" t="s">
        <v>425</v>
      </c>
      <c r="G75" t="s">
        <v>1450</v>
      </c>
      <c r="H75" t="s">
        <v>1450</v>
      </c>
      <c r="I75" t="s">
        <v>1442</v>
      </c>
      <c r="J75" t="s">
        <v>1443</v>
      </c>
      <c r="K75" t="s">
        <v>1444</v>
      </c>
      <c r="M75">
        <v>12</v>
      </c>
      <c r="N75" t="s">
        <v>1612</v>
      </c>
      <c r="O75" t="s">
        <v>1446</v>
      </c>
    </row>
    <row r="76" spans="1:15" x14ac:dyDescent="0.3">
      <c r="A76" t="s">
        <v>540</v>
      </c>
      <c r="B76" t="s">
        <v>1439</v>
      </c>
      <c r="C76" t="s">
        <v>538</v>
      </c>
      <c r="D76" t="s">
        <v>536</v>
      </c>
      <c r="F76" t="s">
        <v>537</v>
      </c>
      <c r="G76" t="s">
        <v>1613</v>
      </c>
      <c r="H76" t="s">
        <v>1614</v>
      </c>
      <c r="I76" t="s">
        <v>1442</v>
      </c>
      <c r="J76" t="s">
        <v>1443</v>
      </c>
      <c r="K76" t="s">
        <v>1483</v>
      </c>
      <c r="M76">
        <v>12</v>
      </c>
      <c r="N76" t="s">
        <v>1615</v>
      </c>
      <c r="O76" t="s">
        <v>1446</v>
      </c>
    </row>
    <row r="77" spans="1:15" x14ac:dyDescent="0.3">
      <c r="A77" t="s">
        <v>591</v>
      </c>
      <c r="B77" t="s">
        <v>1439</v>
      </c>
      <c r="C77" t="s">
        <v>589</v>
      </c>
      <c r="D77" t="s">
        <v>587</v>
      </c>
      <c r="F77" t="s">
        <v>588</v>
      </c>
      <c r="G77" t="s">
        <v>1589</v>
      </c>
      <c r="H77" t="s">
        <v>1590</v>
      </c>
      <c r="I77" t="s">
        <v>1442</v>
      </c>
      <c r="J77" t="s">
        <v>1443</v>
      </c>
      <c r="K77" t="s">
        <v>1444</v>
      </c>
      <c r="L77">
        <v>100000</v>
      </c>
      <c r="M77">
        <v>48</v>
      </c>
      <c r="N77" t="s">
        <v>1616</v>
      </c>
      <c r="O77" t="s">
        <v>1446</v>
      </c>
    </row>
    <row r="78" spans="1:15" x14ac:dyDescent="0.3">
      <c r="A78" t="s">
        <v>637</v>
      </c>
      <c r="B78" t="s">
        <v>1439</v>
      </c>
      <c r="C78" t="s">
        <v>634</v>
      </c>
      <c r="D78" t="s">
        <v>631</v>
      </c>
      <c r="F78" t="s">
        <v>632</v>
      </c>
      <c r="G78" t="s">
        <v>1452</v>
      </c>
      <c r="H78" t="s">
        <v>1562</v>
      </c>
      <c r="I78" t="s">
        <v>1442</v>
      </c>
      <c r="J78" t="s">
        <v>1443</v>
      </c>
      <c r="K78" t="s">
        <v>1444</v>
      </c>
      <c r="M78">
        <v>36</v>
      </c>
      <c r="N78" t="s">
        <v>1617</v>
      </c>
      <c r="O78" t="s">
        <v>1446</v>
      </c>
    </row>
    <row r="79" spans="1:15" x14ac:dyDescent="0.3">
      <c r="A79" t="s">
        <v>436</v>
      </c>
      <c r="B79" t="s">
        <v>1439</v>
      </c>
      <c r="C79" t="s">
        <v>434</v>
      </c>
      <c r="D79" t="s">
        <v>432</v>
      </c>
      <c r="F79" t="s">
        <v>433</v>
      </c>
      <c r="G79" t="s">
        <v>1618</v>
      </c>
      <c r="H79" t="s">
        <v>1618</v>
      </c>
      <c r="I79" t="s">
        <v>1442</v>
      </c>
      <c r="J79" t="s">
        <v>1448</v>
      </c>
      <c r="K79" t="s">
        <v>1483</v>
      </c>
      <c r="N79" t="s">
        <v>1619</v>
      </c>
      <c r="O79" t="s">
        <v>1446</v>
      </c>
    </row>
    <row r="80" spans="1:15" x14ac:dyDescent="0.3">
      <c r="A80" t="s">
        <v>732</v>
      </c>
      <c r="B80" t="s">
        <v>1439</v>
      </c>
      <c r="C80" t="s">
        <v>729</v>
      </c>
      <c r="D80" t="s">
        <v>727</v>
      </c>
      <c r="F80" t="s">
        <v>728</v>
      </c>
      <c r="G80" t="s">
        <v>1620</v>
      </c>
      <c r="H80" t="s">
        <v>1621</v>
      </c>
      <c r="I80" t="s">
        <v>1442</v>
      </c>
      <c r="J80" t="s">
        <v>1443</v>
      </c>
      <c r="K80" t="s">
        <v>1622</v>
      </c>
      <c r="M80">
        <v>18</v>
      </c>
      <c r="N80" t="s">
        <v>1623</v>
      </c>
      <c r="O80" t="s">
        <v>1446</v>
      </c>
    </row>
    <row r="81" spans="1:15" x14ac:dyDescent="0.3">
      <c r="A81" t="s">
        <v>258</v>
      </c>
      <c r="B81" t="s">
        <v>1439</v>
      </c>
      <c r="C81" t="s">
        <v>1624</v>
      </c>
      <c r="D81" t="s">
        <v>169</v>
      </c>
      <c r="F81" t="s">
        <v>253</v>
      </c>
      <c r="G81" t="s">
        <v>1558</v>
      </c>
      <c r="H81" t="s">
        <v>1558</v>
      </c>
      <c r="I81" t="s">
        <v>1442</v>
      </c>
      <c r="J81" t="s">
        <v>1443</v>
      </c>
      <c r="K81" t="s">
        <v>1483</v>
      </c>
      <c r="M81">
        <v>24</v>
      </c>
      <c r="N81" t="s">
        <v>1625</v>
      </c>
      <c r="O81" t="s">
        <v>1446</v>
      </c>
    </row>
    <row r="82" spans="1:15" x14ac:dyDescent="0.3">
      <c r="A82" t="s">
        <v>454</v>
      </c>
      <c r="B82" t="s">
        <v>1439</v>
      </c>
      <c r="C82" t="s">
        <v>452</v>
      </c>
      <c r="D82" t="s">
        <v>432</v>
      </c>
      <c r="F82" t="s">
        <v>451</v>
      </c>
      <c r="G82" t="s">
        <v>1618</v>
      </c>
      <c r="H82" t="s">
        <v>1626</v>
      </c>
      <c r="I82" t="s">
        <v>1442</v>
      </c>
      <c r="J82" t="s">
        <v>1443</v>
      </c>
      <c r="K82" t="s">
        <v>1483</v>
      </c>
      <c r="M82">
        <v>48</v>
      </c>
      <c r="N82" t="s">
        <v>1627</v>
      </c>
      <c r="O82" t="s">
        <v>1446</v>
      </c>
    </row>
    <row r="83" spans="1:15" x14ac:dyDescent="0.3">
      <c r="A83" t="s">
        <v>1016</v>
      </c>
      <c r="B83" t="s">
        <v>1439</v>
      </c>
      <c r="C83" t="s">
        <v>1628</v>
      </c>
      <c r="D83" t="s">
        <v>343</v>
      </c>
      <c r="F83" t="s">
        <v>1011</v>
      </c>
      <c r="G83" t="s">
        <v>1629</v>
      </c>
      <c r="H83" t="s">
        <v>1630</v>
      </c>
      <c r="I83" t="s">
        <v>1442</v>
      </c>
      <c r="J83" t="s">
        <v>1443</v>
      </c>
      <c r="K83" t="s">
        <v>1444</v>
      </c>
      <c r="M83">
        <v>24</v>
      </c>
      <c r="N83" t="s">
        <v>1631</v>
      </c>
      <c r="O83" t="s">
        <v>1446</v>
      </c>
    </row>
    <row r="84" spans="1:15" x14ac:dyDescent="0.3">
      <c r="A84" t="s">
        <v>407</v>
      </c>
      <c r="B84" t="s">
        <v>1439</v>
      </c>
      <c r="C84" t="s">
        <v>1632</v>
      </c>
      <c r="D84" t="s">
        <v>403</v>
      </c>
      <c r="F84" t="s">
        <v>404</v>
      </c>
      <c r="G84" t="s">
        <v>1633</v>
      </c>
      <c r="H84" t="s">
        <v>1634</v>
      </c>
      <c r="I84" t="s">
        <v>1442</v>
      </c>
      <c r="J84" t="s">
        <v>1443</v>
      </c>
      <c r="K84" t="s">
        <v>1622</v>
      </c>
      <c r="M84">
        <v>34</v>
      </c>
      <c r="N84" t="s">
        <v>1635</v>
      </c>
      <c r="O84" t="s">
        <v>1446</v>
      </c>
    </row>
    <row r="85" spans="1:15" x14ac:dyDescent="0.3">
      <c r="A85" t="s">
        <v>957</v>
      </c>
      <c r="B85" t="s">
        <v>1439</v>
      </c>
      <c r="C85" t="s">
        <v>955</v>
      </c>
      <c r="D85" t="s">
        <v>41</v>
      </c>
      <c r="F85" t="s">
        <v>954</v>
      </c>
      <c r="G85" t="s">
        <v>1510</v>
      </c>
      <c r="H85" t="s">
        <v>1510</v>
      </c>
      <c r="I85" t="s">
        <v>1442</v>
      </c>
      <c r="J85" t="s">
        <v>1448</v>
      </c>
      <c r="K85" t="s">
        <v>1444</v>
      </c>
      <c r="M85">
        <v>12</v>
      </c>
      <c r="N85" t="s">
        <v>1636</v>
      </c>
      <c r="O85" t="s">
        <v>1446</v>
      </c>
    </row>
    <row r="86" spans="1:15" x14ac:dyDescent="0.3">
      <c r="A86" t="s">
        <v>479</v>
      </c>
      <c r="B86" t="s">
        <v>1439</v>
      </c>
      <c r="C86" t="s">
        <v>476</v>
      </c>
      <c r="D86" t="s">
        <v>473</v>
      </c>
      <c r="F86" t="s">
        <v>474</v>
      </c>
      <c r="G86" t="s">
        <v>1510</v>
      </c>
      <c r="H86" t="s">
        <v>1510</v>
      </c>
      <c r="I86" t="s">
        <v>1442</v>
      </c>
      <c r="J86" t="s">
        <v>1448</v>
      </c>
      <c r="K86" t="s">
        <v>1444</v>
      </c>
      <c r="M86">
        <v>12</v>
      </c>
      <c r="N86" t="s">
        <v>1637</v>
      </c>
      <c r="O86" t="s">
        <v>1446</v>
      </c>
    </row>
    <row r="87" spans="1:15" x14ac:dyDescent="0.3">
      <c r="A87" t="s">
        <v>907</v>
      </c>
      <c r="B87" t="s">
        <v>1439</v>
      </c>
      <c r="C87" t="s">
        <v>1638</v>
      </c>
      <c r="D87" t="s">
        <v>903</v>
      </c>
      <c r="F87" t="s">
        <v>904</v>
      </c>
      <c r="G87" t="s">
        <v>1639</v>
      </c>
      <c r="H87" t="s">
        <v>1640</v>
      </c>
      <c r="I87" t="s">
        <v>1442</v>
      </c>
      <c r="J87" t="s">
        <v>1443</v>
      </c>
      <c r="K87" t="s">
        <v>1483</v>
      </c>
      <c r="L87">
        <v>290000</v>
      </c>
      <c r="M87">
        <v>3</v>
      </c>
      <c r="N87" t="s">
        <v>1641</v>
      </c>
      <c r="O87" t="s">
        <v>1446</v>
      </c>
    </row>
    <row r="88" spans="1:15" x14ac:dyDescent="0.3">
      <c r="A88" t="s">
        <v>38</v>
      </c>
      <c r="B88" t="s">
        <v>1439</v>
      </c>
      <c r="C88" t="s">
        <v>35</v>
      </c>
      <c r="D88" t="s">
        <v>32</v>
      </c>
      <c r="F88" t="s">
        <v>33</v>
      </c>
      <c r="G88" t="s">
        <v>1642</v>
      </c>
      <c r="H88" t="s">
        <v>1643</v>
      </c>
      <c r="I88" t="s">
        <v>1442</v>
      </c>
      <c r="J88" t="s">
        <v>1443</v>
      </c>
      <c r="K88" t="s">
        <v>1444</v>
      </c>
      <c r="M88">
        <v>12</v>
      </c>
      <c r="N88" t="s">
        <v>1644</v>
      </c>
      <c r="O88" t="s">
        <v>1446</v>
      </c>
    </row>
    <row r="89" spans="1:15" x14ac:dyDescent="0.3">
      <c r="A89" t="s">
        <v>441</v>
      </c>
      <c r="B89" t="s">
        <v>1601</v>
      </c>
      <c r="C89" t="s">
        <v>439</v>
      </c>
      <c r="D89" t="s">
        <v>41</v>
      </c>
      <c r="F89" t="s">
        <v>438</v>
      </c>
      <c r="G89" t="s">
        <v>1450</v>
      </c>
      <c r="H89" t="s">
        <v>1450</v>
      </c>
      <c r="I89" t="s">
        <v>1442</v>
      </c>
      <c r="J89" t="s">
        <v>1448</v>
      </c>
      <c r="N89" t="s">
        <v>1645</v>
      </c>
      <c r="O89" t="s">
        <v>1446</v>
      </c>
    </row>
    <row r="90" spans="1:15" x14ac:dyDescent="0.3">
      <c r="A90" t="s">
        <v>1042</v>
      </c>
      <c r="B90" t="s">
        <v>1439</v>
      </c>
      <c r="C90" t="s">
        <v>1040</v>
      </c>
      <c r="D90" t="s">
        <v>1038</v>
      </c>
      <c r="F90" t="s">
        <v>1039</v>
      </c>
      <c r="G90" t="s">
        <v>1646</v>
      </c>
      <c r="H90" t="s">
        <v>1647</v>
      </c>
      <c r="I90" t="s">
        <v>1442</v>
      </c>
      <c r="J90" t="s">
        <v>1448</v>
      </c>
      <c r="K90" t="s">
        <v>1622</v>
      </c>
      <c r="N90" t="s">
        <v>1648</v>
      </c>
      <c r="O90" t="s">
        <v>1446</v>
      </c>
    </row>
    <row r="91" spans="1:15" x14ac:dyDescent="0.3">
      <c r="A91" t="s">
        <v>624</v>
      </c>
      <c r="B91" t="s">
        <v>1439</v>
      </c>
      <c r="C91" t="s">
        <v>452</v>
      </c>
      <c r="D91" t="s">
        <v>334</v>
      </c>
      <c r="F91" t="s">
        <v>622</v>
      </c>
      <c r="G91" t="s">
        <v>1546</v>
      </c>
      <c r="H91" t="s">
        <v>1547</v>
      </c>
      <c r="I91" t="s">
        <v>1442</v>
      </c>
      <c r="J91" t="s">
        <v>1548</v>
      </c>
      <c r="K91" t="s">
        <v>1444</v>
      </c>
      <c r="L91">
        <v>9600000</v>
      </c>
      <c r="M91">
        <v>12</v>
      </c>
      <c r="N91" t="s">
        <v>1649</v>
      </c>
      <c r="O91" t="s">
        <v>1446</v>
      </c>
    </row>
    <row r="92" spans="1:15" x14ac:dyDescent="0.3">
      <c r="A92" t="s">
        <v>275</v>
      </c>
      <c r="B92" t="s">
        <v>1439</v>
      </c>
      <c r="C92" t="s">
        <v>1650</v>
      </c>
      <c r="D92" t="s">
        <v>80</v>
      </c>
      <c r="F92" t="s">
        <v>270</v>
      </c>
      <c r="G92" t="s">
        <v>1651</v>
      </c>
      <c r="H92" t="s">
        <v>1652</v>
      </c>
      <c r="I92" t="s">
        <v>1442</v>
      </c>
      <c r="J92" t="s">
        <v>1443</v>
      </c>
      <c r="K92" t="s">
        <v>1483</v>
      </c>
      <c r="M92">
        <v>12</v>
      </c>
      <c r="N92" t="s">
        <v>1653</v>
      </c>
      <c r="O92" t="s">
        <v>1446</v>
      </c>
    </row>
    <row r="93" spans="1:15" x14ac:dyDescent="0.3">
      <c r="A93" t="s">
        <v>746</v>
      </c>
      <c r="B93" t="s">
        <v>1439</v>
      </c>
      <c r="C93" t="s">
        <v>1654</v>
      </c>
      <c r="D93" t="s">
        <v>32</v>
      </c>
      <c r="F93" t="s">
        <v>741</v>
      </c>
      <c r="G93" t="s">
        <v>1655</v>
      </c>
      <c r="H93" t="s">
        <v>1655</v>
      </c>
      <c r="I93" t="s">
        <v>1442</v>
      </c>
      <c r="J93" t="s">
        <v>1443</v>
      </c>
      <c r="K93" t="s">
        <v>1444</v>
      </c>
      <c r="M93">
        <v>12</v>
      </c>
      <c r="N93" t="s">
        <v>1656</v>
      </c>
      <c r="O93" t="s">
        <v>1446</v>
      </c>
    </row>
    <row r="94" spans="1:15" x14ac:dyDescent="0.3">
      <c r="A94" t="s">
        <v>650</v>
      </c>
      <c r="B94" t="s">
        <v>1439</v>
      </c>
      <c r="C94" t="s">
        <v>647</v>
      </c>
      <c r="D94" t="s">
        <v>169</v>
      </c>
      <c r="F94" t="s">
        <v>645</v>
      </c>
      <c r="G94" t="s">
        <v>1510</v>
      </c>
      <c r="H94" t="s">
        <v>1510</v>
      </c>
      <c r="I94" t="s">
        <v>1442</v>
      </c>
      <c r="J94" t="s">
        <v>1448</v>
      </c>
      <c r="K94" t="s">
        <v>1444</v>
      </c>
      <c r="L94">
        <v>160000</v>
      </c>
      <c r="M94">
        <v>48</v>
      </c>
      <c r="N94" t="s">
        <v>1657</v>
      </c>
      <c r="O94" t="s">
        <v>1446</v>
      </c>
    </row>
    <row r="95" spans="1:15" x14ac:dyDescent="0.3">
      <c r="A95" t="s">
        <v>231</v>
      </c>
      <c r="B95" t="s">
        <v>1439</v>
      </c>
      <c r="C95" t="s">
        <v>228</v>
      </c>
      <c r="D95" t="s">
        <v>128</v>
      </c>
      <c r="F95" t="s">
        <v>226</v>
      </c>
      <c r="G95" t="s">
        <v>1658</v>
      </c>
      <c r="H95" t="s">
        <v>1658</v>
      </c>
      <c r="I95" t="s">
        <v>1442</v>
      </c>
      <c r="J95" t="s">
        <v>1448</v>
      </c>
      <c r="K95" t="s">
        <v>1444</v>
      </c>
      <c r="M95">
        <v>48</v>
      </c>
      <c r="N95" t="s">
        <v>1659</v>
      </c>
      <c r="O95" t="s">
        <v>1446</v>
      </c>
    </row>
    <row r="96" spans="1:15" x14ac:dyDescent="0.3">
      <c r="A96" t="s">
        <v>768</v>
      </c>
      <c r="B96" t="s">
        <v>1439</v>
      </c>
      <c r="C96" t="s">
        <v>765</v>
      </c>
      <c r="D96" t="s">
        <v>762</v>
      </c>
      <c r="F96" t="s">
        <v>763</v>
      </c>
      <c r="G96" t="s">
        <v>1660</v>
      </c>
      <c r="H96" t="s">
        <v>1660</v>
      </c>
      <c r="I96" t="s">
        <v>1442</v>
      </c>
      <c r="J96" t="s">
        <v>1448</v>
      </c>
      <c r="N96" t="s">
        <v>1661</v>
      </c>
      <c r="O96" t="s">
        <v>1446</v>
      </c>
    </row>
    <row r="97" spans="1:15" x14ac:dyDescent="0.3">
      <c r="A97" t="s">
        <v>610</v>
      </c>
      <c r="B97" t="s">
        <v>1439</v>
      </c>
      <c r="C97" t="s">
        <v>1662</v>
      </c>
      <c r="D97" t="s">
        <v>261</v>
      </c>
      <c r="F97" t="s">
        <v>605</v>
      </c>
      <c r="G97" t="s">
        <v>1553</v>
      </c>
      <c r="H97" t="s">
        <v>1553</v>
      </c>
      <c r="I97" t="s">
        <v>1442</v>
      </c>
      <c r="J97" t="s">
        <v>1443</v>
      </c>
      <c r="K97" t="s">
        <v>1444</v>
      </c>
      <c r="L97">
        <v>3900000</v>
      </c>
      <c r="M97">
        <v>12</v>
      </c>
      <c r="N97" t="s">
        <v>1663</v>
      </c>
      <c r="O97" t="s">
        <v>1446</v>
      </c>
    </row>
    <row r="98" spans="1:15" x14ac:dyDescent="0.3">
      <c r="A98" t="s">
        <v>340</v>
      </c>
      <c r="B98" t="s">
        <v>1439</v>
      </c>
      <c r="C98" t="s">
        <v>337</v>
      </c>
      <c r="D98" t="s">
        <v>334</v>
      </c>
      <c r="F98" t="s">
        <v>335</v>
      </c>
      <c r="G98" t="s">
        <v>1664</v>
      </c>
      <c r="H98" t="s">
        <v>1664</v>
      </c>
      <c r="I98" t="s">
        <v>1442</v>
      </c>
      <c r="J98" t="s">
        <v>1448</v>
      </c>
      <c r="K98" t="s">
        <v>1444</v>
      </c>
      <c r="L98">
        <v>220000</v>
      </c>
      <c r="M98">
        <v>12</v>
      </c>
      <c r="N98" t="s">
        <v>1665</v>
      </c>
      <c r="O98" t="s">
        <v>1446</v>
      </c>
    </row>
    <row r="99" spans="1:15" x14ac:dyDescent="0.3">
      <c r="A99" t="s">
        <v>908</v>
      </c>
      <c r="B99" t="s">
        <v>1666</v>
      </c>
      <c r="C99" t="s">
        <v>909</v>
      </c>
      <c r="D99" t="s">
        <v>903</v>
      </c>
      <c r="F99" t="s">
        <v>942</v>
      </c>
      <c r="G99" t="s">
        <v>1667</v>
      </c>
      <c r="H99" t="s">
        <v>1668</v>
      </c>
      <c r="I99" t="s">
        <v>1442</v>
      </c>
      <c r="J99" t="s">
        <v>1548</v>
      </c>
      <c r="K99" t="s">
        <v>1444</v>
      </c>
      <c r="L99">
        <v>600000</v>
      </c>
      <c r="M99">
        <v>48</v>
      </c>
      <c r="N99" t="s">
        <v>1669</v>
      </c>
      <c r="O99" t="s">
        <v>1446</v>
      </c>
    </row>
    <row r="100" spans="1:15" x14ac:dyDescent="0.3">
      <c r="A100" t="s">
        <v>367</v>
      </c>
      <c r="B100" t="s">
        <v>1439</v>
      </c>
      <c r="C100" t="s">
        <v>1670</v>
      </c>
      <c r="D100" t="s">
        <v>361</v>
      </c>
      <c r="F100" t="s">
        <v>362</v>
      </c>
      <c r="G100" t="s">
        <v>1529</v>
      </c>
      <c r="H100" t="s">
        <v>1529</v>
      </c>
      <c r="I100" t="s">
        <v>1442</v>
      </c>
      <c r="J100" t="s">
        <v>1443</v>
      </c>
      <c r="K100" t="s">
        <v>1483</v>
      </c>
      <c r="L100">
        <v>2000000</v>
      </c>
      <c r="M100">
        <v>48</v>
      </c>
      <c r="N100" t="s">
        <v>1671</v>
      </c>
      <c r="O100" t="s">
        <v>1446</v>
      </c>
    </row>
    <row r="101" spans="1:15" x14ac:dyDescent="0.3">
      <c r="A101" t="s">
        <v>268</v>
      </c>
      <c r="B101" t="s">
        <v>1601</v>
      </c>
      <c r="C101" t="s">
        <v>266</v>
      </c>
      <c r="D101" t="s">
        <v>261</v>
      </c>
      <c r="F101" t="s">
        <v>263</v>
      </c>
      <c r="G101" t="s">
        <v>1494</v>
      </c>
      <c r="H101" t="s">
        <v>1494</v>
      </c>
      <c r="I101" t="s">
        <v>1442</v>
      </c>
      <c r="J101" t="s">
        <v>1448</v>
      </c>
      <c r="K101" t="s">
        <v>1444</v>
      </c>
      <c r="M101">
        <v>12</v>
      </c>
      <c r="N101" t="s">
        <v>1672</v>
      </c>
      <c r="O101" t="s">
        <v>1446</v>
      </c>
    </row>
    <row r="102" spans="1:15" x14ac:dyDescent="0.3">
      <c r="A102" t="s">
        <v>109</v>
      </c>
      <c r="B102" t="s">
        <v>1439</v>
      </c>
      <c r="C102" t="s">
        <v>106</v>
      </c>
      <c r="D102" t="s">
        <v>103</v>
      </c>
      <c r="F102" t="s">
        <v>104</v>
      </c>
      <c r="G102" t="s">
        <v>1510</v>
      </c>
      <c r="H102" t="s">
        <v>1510</v>
      </c>
      <c r="I102" t="s">
        <v>1442</v>
      </c>
      <c r="J102" t="s">
        <v>1443</v>
      </c>
      <c r="K102" t="s">
        <v>1444</v>
      </c>
      <c r="M102">
        <v>48</v>
      </c>
      <c r="N102" t="s">
        <v>1673</v>
      </c>
      <c r="O102" t="s">
        <v>1446</v>
      </c>
    </row>
    <row r="103" spans="1:15" x14ac:dyDescent="0.3">
      <c r="A103" t="s">
        <v>1082</v>
      </c>
      <c r="B103" t="s">
        <v>1439</v>
      </c>
      <c r="C103" t="s">
        <v>1013</v>
      </c>
      <c r="D103" t="s">
        <v>762</v>
      </c>
      <c r="F103" t="s">
        <v>1080</v>
      </c>
      <c r="G103" t="s">
        <v>1674</v>
      </c>
      <c r="H103" t="s">
        <v>1674</v>
      </c>
      <c r="I103" t="s">
        <v>1442</v>
      </c>
      <c r="J103" t="s">
        <v>1448</v>
      </c>
      <c r="K103" t="s">
        <v>1483</v>
      </c>
      <c r="M103">
        <v>36</v>
      </c>
      <c r="N103" t="s">
        <v>1675</v>
      </c>
      <c r="O103" t="s">
        <v>1446</v>
      </c>
    </row>
    <row r="104" spans="1:15" x14ac:dyDescent="0.3">
      <c r="A104" t="s">
        <v>971</v>
      </c>
      <c r="B104" t="s">
        <v>1439</v>
      </c>
      <c r="C104" t="s">
        <v>969</v>
      </c>
      <c r="D104" t="s">
        <v>343</v>
      </c>
      <c r="F104" t="s">
        <v>967</v>
      </c>
      <c r="G104" t="s">
        <v>1466</v>
      </c>
      <c r="H104" t="s">
        <v>1467</v>
      </c>
      <c r="I104" t="s">
        <v>1442</v>
      </c>
      <c r="J104" t="s">
        <v>1443</v>
      </c>
      <c r="K104" t="s">
        <v>1483</v>
      </c>
      <c r="M104">
        <v>12</v>
      </c>
      <c r="N104" t="s">
        <v>1676</v>
      </c>
      <c r="O104" t="s">
        <v>1446</v>
      </c>
    </row>
    <row r="105" spans="1:15" x14ac:dyDescent="0.3">
      <c r="A105" t="s">
        <v>759</v>
      </c>
      <c r="B105" t="s">
        <v>1439</v>
      </c>
      <c r="C105" t="s">
        <v>1677</v>
      </c>
      <c r="D105" t="s">
        <v>244</v>
      </c>
      <c r="F105" t="s">
        <v>754</v>
      </c>
      <c r="G105" t="s">
        <v>1678</v>
      </c>
      <c r="H105" t="s">
        <v>1679</v>
      </c>
      <c r="I105" t="s">
        <v>1442</v>
      </c>
      <c r="J105" t="s">
        <v>1443</v>
      </c>
      <c r="K105" t="s">
        <v>1444</v>
      </c>
      <c r="M105">
        <v>48</v>
      </c>
      <c r="N105" t="s">
        <v>1680</v>
      </c>
      <c r="O105" t="s">
        <v>1446</v>
      </c>
    </row>
    <row r="106" spans="1:15" x14ac:dyDescent="0.3">
      <c r="A106" t="s">
        <v>864</v>
      </c>
      <c r="B106" t="s">
        <v>1439</v>
      </c>
      <c r="C106" t="s">
        <v>1681</v>
      </c>
      <c r="D106" t="s">
        <v>858</v>
      </c>
      <c r="F106" t="s">
        <v>859</v>
      </c>
      <c r="G106" t="s">
        <v>1492</v>
      </c>
      <c r="H106" t="s">
        <v>1682</v>
      </c>
      <c r="I106" t="s">
        <v>1442</v>
      </c>
      <c r="J106" t="s">
        <v>1443</v>
      </c>
      <c r="K106" t="s">
        <v>1444</v>
      </c>
      <c r="M106">
        <v>48</v>
      </c>
      <c r="N106" t="s">
        <v>1683</v>
      </c>
      <c r="O106" t="s">
        <v>1446</v>
      </c>
    </row>
    <row r="107" spans="1:15" x14ac:dyDescent="0.3">
      <c r="A107" t="s">
        <v>1086</v>
      </c>
      <c r="B107" t="s">
        <v>1439</v>
      </c>
      <c r="C107" t="s">
        <v>1684</v>
      </c>
      <c r="D107" t="s">
        <v>1084</v>
      </c>
      <c r="F107" t="s">
        <v>1085</v>
      </c>
      <c r="G107" t="s">
        <v>1685</v>
      </c>
      <c r="H107" t="s">
        <v>1685</v>
      </c>
      <c r="I107" t="s">
        <v>1442</v>
      </c>
      <c r="J107" t="s">
        <v>1539</v>
      </c>
      <c r="K107" t="s">
        <v>1444</v>
      </c>
      <c r="L107">
        <v>350000</v>
      </c>
      <c r="M107">
        <v>24</v>
      </c>
      <c r="N107" t="s">
        <v>1686</v>
      </c>
      <c r="O107" t="s">
        <v>1446</v>
      </c>
    </row>
    <row r="108" spans="1:15" x14ac:dyDescent="0.3">
      <c r="A108" t="s">
        <v>198</v>
      </c>
      <c r="B108" t="s">
        <v>1439</v>
      </c>
      <c r="C108" t="s">
        <v>195</v>
      </c>
      <c r="D108" t="s">
        <v>192</v>
      </c>
      <c r="F108" t="s">
        <v>193</v>
      </c>
      <c r="G108" t="s">
        <v>1558</v>
      </c>
      <c r="H108" t="s">
        <v>1558</v>
      </c>
      <c r="I108" t="s">
        <v>1442</v>
      </c>
      <c r="J108" t="s">
        <v>1448</v>
      </c>
      <c r="K108" t="s">
        <v>1444</v>
      </c>
      <c r="L108">
        <v>208999</v>
      </c>
      <c r="M108">
        <v>12</v>
      </c>
      <c r="N108" t="s">
        <v>1687</v>
      </c>
      <c r="O108" t="s">
        <v>1446</v>
      </c>
    </row>
    <row r="109" spans="1:15" x14ac:dyDescent="0.3">
      <c r="A109" t="s">
        <v>1000</v>
      </c>
      <c r="B109" t="s">
        <v>1439</v>
      </c>
      <c r="C109" t="s">
        <v>337</v>
      </c>
      <c r="D109" t="s">
        <v>62</v>
      </c>
      <c r="F109" t="s">
        <v>996</v>
      </c>
      <c r="G109" t="s">
        <v>1688</v>
      </c>
      <c r="H109" t="s">
        <v>1689</v>
      </c>
      <c r="I109" t="s">
        <v>1442</v>
      </c>
      <c r="J109" t="s">
        <v>1443</v>
      </c>
      <c r="K109" t="s">
        <v>1444</v>
      </c>
      <c r="M109">
        <v>48</v>
      </c>
      <c r="N109" t="s">
        <v>1690</v>
      </c>
      <c r="O109" t="s">
        <v>1446</v>
      </c>
    </row>
    <row r="110" spans="1:15" x14ac:dyDescent="0.3">
      <c r="A110" t="s">
        <v>289</v>
      </c>
      <c r="B110" t="s">
        <v>1439</v>
      </c>
      <c r="C110" t="s">
        <v>286</v>
      </c>
      <c r="D110" t="s">
        <v>284</v>
      </c>
      <c r="F110" t="s">
        <v>285</v>
      </c>
      <c r="G110" t="s">
        <v>1660</v>
      </c>
      <c r="H110" t="s">
        <v>1691</v>
      </c>
      <c r="I110" t="s">
        <v>1442</v>
      </c>
      <c r="J110" t="s">
        <v>1443</v>
      </c>
      <c r="K110" t="s">
        <v>1483</v>
      </c>
      <c r="M110">
        <v>12</v>
      </c>
      <c r="N110" t="s">
        <v>1692</v>
      </c>
      <c r="O110" t="s">
        <v>1446</v>
      </c>
    </row>
    <row r="111" spans="1:15" x14ac:dyDescent="0.3">
      <c r="A111" t="s">
        <v>603</v>
      </c>
      <c r="B111" t="s">
        <v>1439</v>
      </c>
      <c r="C111" t="s">
        <v>844</v>
      </c>
      <c r="D111" t="s">
        <v>599</v>
      </c>
      <c r="F111" t="s">
        <v>600</v>
      </c>
      <c r="G111" t="s">
        <v>1693</v>
      </c>
      <c r="H111" t="s">
        <v>1694</v>
      </c>
      <c r="I111" t="s">
        <v>1442</v>
      </c>
      <c r="J111" t="s">
        <v>1443</v>
      </c>
      <c r="K111" t="s">
        <v>1483</v>
      </c>
      <c r="M111">
        <v>3</v>
      </c>
      <c r="N111" t="s">
        <v>1695</v>
      </c>
      <c r="O111" t="s">
        <v>1446</v>
      </c>
    </row>
    <row r="112" spans="1:15" x14ac:dyDescent="0.3">
      <c r="A112" t="s">
        <v>993</v>
      </c>
      <c r="B112" t="s">
        <v>1439</v>
      </c>
      <c r="C112" t="s">
        <v>990</v>
      </c>
      <c r="D112" t="s">
        <v>987</v>
      </c>
      <c r="F112" t="s">
        <v>988</v>
      </c>
      <c r="G112" t="s">
        <v>1510</v>
      </c>
      <c r="H112" t="s">
        <v>1510</v>
      </c>
      <c r="I112" t="s">
        <v>1442</v>
      </c>
      <c r="J112" t="s">
        <v>1443</v>
      </c>
      <c r="K112" t="s">
        <v>1444</v>
      </c>
      <c r="M112">
        <v>12</v>
      </c>
      <c r="N112" t="s">
        <v>1696</v>
      </c>
      <c r="O112" t="s">
        <v>1446</v>
      </c>
    </row>
    <row r="113" spans="1:15" x14ac:dyDescent="0.3">
      <c r="A113" t="s">
        <v>717</v>
      </c>
      <c r="B113" t="s">
        <v>1439</v>
      </c>
      <c r="C113" t="s">
        <v>715</v>
      </c>
      <c r="D113" t="s">
        <v>713</v>
      </c>
      <c r="F113" t="s">
        <v>714</v>
      </c>
      <c r="G113" t="s">
        <v>1697</v>
      </c>
      <c r="H113" t="s">
        <v>1698</v>
      </c>
      <c r="I113" t="s">
        <v>1442</v>
      </c>
      <c r="J113" t="s">
        <v>1443</v>
      </c>
      <c r="K113" t="s">
        <v>1444</v>
      </c>
      <c r="M113">
        <v>24</v>
      </c>
      <c r="N113" t="s">
        <v>1699</v>
      </c>
      <c r="O113" t="s">
        <v>1446</v>
      </c>
    </row>
    <row r="114" spans="1:15" x14ac:dyDescent="0.3">
      <c r="A114" t="s">
        <v>629</v>
      </c>
      <c r="B114" t="s">
        <v>1439</v>
      </c>
      <c r="C114" t="s">
        <v>1700</v>
      </c>
      <c r="D114" t="s">
        <v>626</v>
      </c>
      <c r="F114" t="s">
        <v>627</v>
      </c>
      <c r="G114" t="s">
        <v>1701</v>
      </c>
      <c r="H114" t="s">
        <v>1702</v>
      </c>
      <c r="I114" t="s">
        <v>1442</v>
      </c>
      <c r="J114" t="s">
        <v>1443</v>
      </c>
      <c r="K114" t="s">
        <v>1444</v>
      </c>
      <c r="M114">
        <v>6</v>
      </c>
      <c r="N114" t="s">
        <v>1703</v>
      </c>
      <c r="O114" t="s">
        <v>1446</v>
      </c>
    </row>
    <row r="115" spans="1:15" x14ac:dyDescent="0.3">
      <c r="A115" t="s">
        <v>739</v>
      </c>
      <c r="B115" t="s">
        <v>1439</v>
      </c>
      <c r="C115" t="s">
        <v>737</v>
      </c>
      <c r="D115" t="s">
        <v>735</v>
      </c>
      <c r="F115" t="s">
        <v>736</v>
      </c>
      <c r="G115" t="s">
        <v>1704</v>
      </c>
      <c r="H115" t="s">
        <v>1704</v>
      </c>
      <c r="I115" t="s">
        <v>1442</v>
      </c>
      <c r="J115" t="s">
        <v>1443</v>
      </c>
      <c r="K115" t="s">
        <v>1483</v>
      </c>
      <c r="M115">
        <v>24</v>
      </c>
      <c r="N115" t="s">
        <v>1705</v>
      </c>
      <c r="O115" t="s">
        <v>1446</v>
      </c>
    </row>
    <row r="116" spans="1:15" x14ac:dyDescent="0.3">
      <c r="A116" t="s">
        <v>391</v>
      </c>
      <c r="B116" t="s">
        <v>1439</v>
      </c>
      <c r="C116" t="s">
        <v>1706</v>
      </c>
      <c r="D116" t="s">
        <v>385</v>
      </c>
      <c r="F116" t="s">
        <v>386</v>
      </c>
      <c r="G116" t="s">
        <v>1507</v>
      </c>
      <c r="H116" t="s">
        <v>1507</v>
      </c>
      <c r="I116" t="s">
        <v>1442</v>
      </c>
      <c r="J116" t="s">
        <v>1443</v>
      </c>
      <c r="K116" t="s">
        <v>1483</v>
      </c>
      <c r="L116">
        <v>370000</v>
      </c>
      <c r="M116">
        <v>24</v>
      </c>
      <c r="N116" t="s">
        <v>1707</v>
      </c>
      <c r="O116" t="s">
        <v>1446</v>
      </c>
    </row>
    <row r="117" spans="1:15" x14ac:dyDescent="0.3">
      <c r="A117" t="s">
        <v>348</v>
      </c>
      <c r="B117" t="s">
        <v>1601</v>
      </c>
      <c r="C117" t="s">
        <v>1708</v>
      </c>
      <c r="D117" t="s">
        <v>343</v>
      </c>
      <c r="F117" t="s">
        <v>344</v>
      </c>
      <c r="G117" t="s">
        <v>1598</v>
      </c>
      <c r="H117" t="s">
        <v>1598</v>
      </c>
      <c r="I117" t="s">
        <v>1442</v>
      </c>
      <c r="J117" t="s">
        <v>1443</v>
      </c>
      <c r="K117" t="s">
        <v>1483</v>
      </c>
      <c r="M117">
        <v>12</v>
      </c>
      <c r="N117" t="s">
        <v>1709</v>
      </c>
      <c r="O117" t="s">
        <v>1446</v>
      </c>
    </row>
    <row r="118" spans="1:15" x14ac:dyDescent="0.3">
      <c r="A118" t="s">
        <v>516</v>
      </c>
      <c r="B118" t="s">
        <v>1439</v>
      </c>
      <c r="C118" t="s">
        <v>1710</v>
      </c>
      <c r="D118" t="s">
        <v>511</v>
      </c>
      <c r="F118" t="s">
        <v>512</v>
      </c>
      <c r="G118" t="s">
        <v>1447</v>
      </c>
      <c r="H118" t="s">
        <v>1711</v>
      </c>
      <c r="I118" t="s">
        <v>1442</v>
      </c>
      <c r="J118" t="s">
        <v>1443</v>
      </c>
      <c r="K118" t="s">
        <v>1444</v>
      </c>
      <c r="L118">
        <v>1600000</v>
      </c>
      <c r="M118">
        <v>16</v>
      </c>
      <c r="N118" t="s">
        <v>1712</v>
      </c>
      <c r="O118" t="s">
        <v>1446</v>
      </c>
    </row>
    <row r="119" spans="1:15" x14ac:dyDescent="0.3">
      <c r="A119" t="s">
        <v>689</v>
      </c>
      <c r="B119" t="s">
        <v>1439</v>
      </c>
      <c r="C119" t="s">
        <v>1713</v>
      </c>
      <c r="D119" t="s">
        <v>631</v>
      </c>
      <c r="F119" t="s">
        <v>685</v>
      </c>
      <c r="G119" t="s">
        <v>1714</v>
      </c>
      <c r="H119" t="s">
        <v>1714</v>
      </c>
      <c r="I119" t="s">
        <v>1442</v>
      </c>
      <c r="J119" t="s">
        <v>1443</v>
      </c>
      <c r="K119" t="s">
        <v>1444</v>
      </c>
      <c r="M119">
        <v>12</v>
      </c>
      <c r="N119" t="s">
        <v>1715</v>
      </c>
      <c r="O119" t="s">
        <v>1446</v>
      </c>
    </row>
    <row r="120" spans="1:15" x14ac:dyDescent="0.3">
      <c r="A120" t="s">
        <v>39</v>
      </c>
      <c r="B120" t="s">
        <v>1601</v>
      </c>
      <c r="C120" t="s">
        <v>1716</v>
      </c>
      <c r="D120" t="s">
        <v>32</v>
      </c>
      <c r="F120" t="s">
        <v>34</v>
      </c>
      <c r="G120" t="s">
        <v>1717</v>
      </c>
      <c r="H120" t="s">
        <v>1717</v>
      </c>
      <c r="I120" t="s">
        <v>1442</v>
      </c>
      <c r="J120" t="s">
        <v>1443</v>
      </c>
      <c r="K120" t="s">
        <v>1444</v>
      </c>
      <c r="M120">
        <v>12</v>
      </c>
      <c r="N120" t="s">
        <v>1718</v>
      </c>
      <c r="O120" t="s">
        <v>1446</v>
      </c>
    </row>
    <row r="121" spans="1:15" x14ac:dyDescent="0.3">
      <c r="A121" t="s">
        <v>480</v>
      </c>
      <c r="B121" t="s">
        <v>1601</v>
      </c>
      <c r="C121" t="s">
        <v>1719</v>
      </c>
      <c r="D121" t="s">
        <v>473</v>
      </c>
      <c r="F121" t="s">
        <v>475</v>
      </c>
      <c r="G121" t="s">
        <v>1720</v>
      </c>
      <c r="H121" t="s">
        <v>1721</v>
      </c>
      <c r="I121" t="s">
        <v>1442</v>
      </c>
      <c r="J121" t="s">
        <v>1443</v>
      </c>
      <c r="K121" t="s">
        <v>1444</v>
      </c>
      <c r="L121">
        <v>100000</v>
      </c>
      <c r="M121">
        <v>24</v>
      </c>
      <c r="N121" t="s">
        <v>1722</v>
      </c>
      <c r="O121" t="s">
        <v>1446</v>
      </c>
    </row>
    <row r="122" spans="1:15" x14ac:dyDescent="0.3">
      <c r="A122" t="s">
        <v>657</v>
      </c>
      <c r="B122" t="s">
        <v>1439</v>
      </c>
      <c r="C122" t="s">
        <v>1723</v>
      </c>
      <c r="D122" t="s">
        <v>653</v>
      </c>
      <c r="F122" t="s">
        <v>654</v>
      </c>
      <c r="G122" t="s">
        <v>1724</v>
      </c>
      <c r="H122" t="s">
        <v>1724</v>
      </c>
      <c r="I122" t="s">
        <v>1442</v>
      </c>
      <c r="J122" t="s">
        <v>1443</v>
      </c>
      <c r="K122" t="s">
        <v>1483</v>
      </c>
      <c r="L122">
        <v>465000</v>
      </c>
      <c r="M122">
        <v>24</v>
      </c>
      <c r="N122" t="s">
        <v>1725</v>
      </c>
      <c r="O122" t="s">
        <v>1446</v>
      </c>
    </row>
    <row r="123" spans="1:15" x14ac:dyDescent="0.3">
      <c r="A123" t="s">
        <v>355</v>
      </c>
      <c r="B123" t="s">
        <v>1439</v>
      </c>
      <c r="C123" t="s">
        <v>353</v>
      </c>
      <c r="D123" t="s">
        <v>351</v>
      </c>
      <c r="F123" t="s">
        <v>352</v>
      </c>
      <c r="G123" t="s">
        <v>1452</v>
      </c>
      <c r="H123" t="s">
        <v>1452</v>
      </c>
      <c r="I123" t="s">
        <v>1442</v>
      </c>
      <c r="J123" t="s">
        <v>1448</v>
      </c>
      <c r="K123" t="s">
        <v>1483</v>
      </c>
      <c r="N123" t="s">
        <v>1726</v>
      </c>
      <c r="O123" t="s">
        <v>1446</v>
      </c>
    </row>
    <row r="124" spans="1:15" x14ac:dyDescent="0.3">
      <c r="A124" t="s">
        <v>696</v>
      </c>
      <c r="B124" t="s">
        <v>1439</v>
      </c>
      <c r="C124" t="s">
        <v>694</v>
      </c>
      <c r="D124" t="s">
        <v>692</v>
      </c>
      <c r="F124" t="s">
        <v>693</v>
      </c>
      <c r="G124" t="s">
        <v>1727</v>
      </c>
      <c r="H124" t="s">
        <v>1727</v>
      </c>
      <c r="I124" t="s">
        <v>1442</v>
      </c>
      <c r="J124" t="s">
        <v>1443</v>
      </c>
      <c r="K124" t="s">
        <v>1444</v>
      </c>
      <c r="N124" t="s">
        <v>1728</v>
      </c>
      <c r="O124" t="s">
        <v>1446</v>
      </c>
    </row>
    <row r="125" spans="1:15" x14ac:dyDescent="0.3">
      <c r="A125" t="s">
        <v>54</v>
      </c>
      <c r="B125" t="s">
        <v>1439</v>
      </c>
      <c r="C125" t="s">
        <v>52</v>
      </c>
      <c r="D125" t="s">
        <v>50</v>
      </c>
      <c r="F125" t="s">
        <v>51</v>
      </c>
      <c r="G125" t="s">
        <v>1598</v>
      </c>
      <c r="H125" t="s">
        <v>1598</v>
      </c>
      <c r="I125" t="s">
        <v>1442</v>
      </c>
      <c r="J125" t="s">
        <v>1448</v>
      </c>
      <c r="K125" t="s">
        <v>1444</v>
      </c>
      <c r="N125" t="s">
        <v>1729</v>
      </c>
      <c r="O125" t="s">
        <v>1446</v>
      </c>
    </row>
    <row r="126" spans="1:15" x14ac:dyDescent="0.3">
      <c r="A126" t="s">
        <v>846</v>
      </c>
      <c r="B126" t="s">
        <v>1439</v>
      </c>
      <c r="C126" t="s">
        <v>52</v>
      </c>
      <c r="D126" t="s">
        <v>361</v>
      </c>
      <c r="F126" t="s">
        <v>842</v>
      </c>
      <c r="G126" t="s">
        <v>1440</v>
      </c>
      <c r="H126" t="s">
        <v>1730</v>
      </c>
      <c r="I126" t="s">
        <v>1442</v>
      </c>
      <c r="J126" t="s">
        <v>1448</v>
      </c>
      <c r="K126" t="s">
        <v>1483</v>
      </c>
      <c r="M126">
        <v>12</v>
      </c>
      <c r="N126" t="s">
        <v>1731</v>
      </c>
      <c r="O126" t="s">
        <v>1446</v>
      </c>
    </row>
    <row r="127" spans="1:15" x14ac:dyDescent="0.3">
      <c r="A127" t="s">
        <v>216</v>
      </c>
      <c r="B127" t="s">
        <v>1439</v>
      </c>
      <c r="C127" t="s">
        <v>1732</v>
      </c>
      <c r="D127" t="s">
        <v>210</v>
      </c>
      <c r="F127" t="s">
        <v>211</v>
      </c>
      <c r="G127" t="s">
        <v>1452</v>
      </c>
      <c r="H127" t="s">
        <v>1452</v>
      </c>
      <c r="I127" t="s">
        <v>1442</v>
      </c>
      <c r="J127" t="s">
        <v>1443</v>
      </c>
      <c r="K127" t="s">
        <v>1444</v>
      </c>
      <c r="M127">
        <v>24</v>
      </c>
      <c r="N127" t="s">
        <v>1733</v>
      </c>
      <c r="O127" t="s">
        <v>1446</v>
      </c>
    </row>
    <row r="128" spans="1:15" x14ac:dyDescent="0.3">
      <c r="A128" t="s">
        <v>928</v>
      </c>
      <c r="B128" t="s">
        <v>1439</v>
      </c>
      <c r="C128" t="s">
        <v>925</v>
      </c>
      <c r="D128" t="s">
        <v>922</v>
      </c>
      <c r="F128" t="s">
        <v>923</v>
      </c>
      <c r="G128" t="s">
        <v>1535</v>
      </c>
      <c r="H128" t="s">
        <v>1734</v>
      </c>
      <c r="I128" t="s">
        <v>1442</v>
      </c>
      <c r="J128" t="s">
        <v>1443</v>
      </c>
      <c r="K128" t="s">
        <v>1622</v>
      </c>
      <c r="M128">
        <v>18</v>
      </c>
      <c r="N128" t="s">
        <v>1735</v>
      </c>
      <c r="O128" t="s">
        <v>1446</v>
      </c>
    </row>
    <row r="129" spans="1:15" x14ac:dyDescent="0.3">
      <c r="A129" t="s">
        <v>376</v>
      </c>
      <c r="B129" t="s">
        <v>1439</v>
      </c>
      <c r="C129" t="s">
        <v>1736</v>
      </c>
      <c r="D129" t="s">
        <v>370</v>
      </c>
      <c r="F129" t="s">
        <v>371</v>
      </c>
      <c r="G129" t="s">
        <v>1610</v>
      </c>
      <c r="H129" t="s">
        <v>1610</v>
      </c>
      <c r="I129" t="s">
        <v>1442</v>
      </c>
      <c r="J129" t="s">
        <v>1548</v>
      </c>
      <c r="K129" t="s">
        <v>1444</v>
      </c>
      <c r="M129">
        <v>24</v>
      </c>
      <c r="N129" t="s">
        <v>1737</v>
      </c>
      <c r="O129" t="s">
        <v>1446</v>
      </c>
    </row>
    <row r="130" spans="1:15" x14ac:dyDescent="0.3">
      <c r="A130" t="s">
        <v>331</v>
      </c>
      <c r="B130" t="s">
        <v>1439</v>
      </c>
      <c r="C130" t="s">
        <v>1738</v>
      </c>
      <c r="D130" t="s">
        <v>201</v>
      </c>
      <c r="F130" t="s">
        <v>326</v>
      </c>
      <c r="G130" t="s">
        <v>1739</v>
      </c>
      <c r="H130" t="s">
        <v>1740</v>
      </c>
      <c r="I130" t="s">
        <v>1442</v>
      </c>
      <c r="J130" t="s">
        <v>1443</v>
      </c>
      <c r="K130" t="s">
        <v>1483</v>
      </c>
      <c r="L130">
        <v>100000</v>
      </c>
      <c r="M130">
        <v>12</v>
      </c>
      <c r="N130" t="s">
        <v>1741</v>
      </c>
      <c r="O130" t="s">
        <v>1446</v>
      </c>
    </row>
    <row r="131" spans="1:15" x14ac:dyDescent="0.3">
      <c r="A131" t="s">
        <v>724</v>
      </c>
      <c r="B131" t="s">
        <v>1439</v>
      </c>
      <c r="C131" t="s">
        <v>721</v>
      </c>
      <c r="D131" t="s">
        <v>32</v>
      </c>
      <c r="F131" t="s">
        <v>719</v>
      </c>
      <c r="G131" t="s">
        <v>1742</v>
      </c>
      <c r="H131" t="s">
        <v>1742</v>
      </c>
      <c r="I131" t="s">
        <v>1442</v>
      </c>
      <c r="J131" t="s">
        <v>1443</v>
      </c>
      <c r="K131" t="s">
        <v>1483</v>
      </c>
      <c r="M131">
        <v>12</v>
      </c>
      <c r="N131" t="s">
        <v>1743</v>
      </c>
      <c r="O131" t="s">
        <v>1446</v>
      </c>
    </row>
    <row r="132" spans="1:15" x14ac:dyDescent="0.3">
      <c r="A132" t="s">
        <v>952</v>
      </c>
      <c r="B132" t="s">
        <v>1439</v>
      </c>
      <c r="C132" t="s">
        <v>215</v>
      </c>
      <c r="D132" t="s">
        <v>948</v>
      </c>
      <c r="F132" t="s">
        <v>949</v>
      </c>
      <c r="G132" t="s">
        <v>1473</v>
      </c>
      <c r="H132" t="s">
        <v>1744</v>
      </c>
      <c r="I132" t="s">
        <v>1442</v>
      </c>
      <c r="J132" t="s">
        <v>1443</v>
      </c>
      <c r="K132" t="s">
        <v>1444</v>
      </c>
      <c r="M132">
        <v>12</v>
      </c>
      <c r="N132" t="s">
        <v>1745</v>
      </c>
      <c r="O132" t="s">
        <v>1446</v>
      </c>
    </row>
    <row r="133" spans="1:15" x14ac:dyDescent="0.3">
      <c r="A133" t="s">
        <v>1115</v>
      </c>
      <c r="B133" t="s">
        <v>1439</v>
      </c>
      <c r="C133" t="s">
        <v>1113</v>
      </c>
      <c r="D133" t="s">
        <v>1111</v>
      </c>
      <c r="F133" t="s">
        <v>1112</v>
      </c>
      <c r="G133" t="s">
        <v>1664</v>
      </c>
      <c r="H133" t="s">
        <v>1664</v>
      </c>
      <c r="I133" t="s">
        <v>1442</v>
      </c>
      <c r="J133" t="s">
        <v>1443</v>
      </c>
      <c r="K133" t="s">
        <v>1483</v>
      </c>
      <c r="M133">
        <v>3</v>
      </c>
      <c r="N133" t="s">
        <v>1746</v>
      </c>
      <c r="O133" t="s">
        <v>1446</v>
      </c>
    </row>
    <row r="134" spans="1:15" x14ac:dyDescent="0.3">
      <c r="A134" t="s">
        <v>984</v>
      </c>
      <c r="B134" t="s">
        <v>1439</v>
      </c>
      <c r="C134" t="s">
        <v>1747</v>
      </c>
      <c r="D134" t="s">
        <v>32</v>
      </c>
      <c r="F134" t="s">
        <v>980</v>
      </c>
      <c r="G134" t="s">
        <v>1464</v>
      </c>
      <c r="H134" t="s">
        <v>1464</v>
      </c>
      <c r="I134" t="s">
        <v>1442</v>
      </c>
      <c r="J134" t="s">
        <v>1443</v>
      </c>
      <c r="K134" t="s">
        <v>1444</v>
      </c>
      <c r="M134">
        <v>24</v>
      </c>
      <c r="N134" t="s">
        <v>1748</v>
      </c>
      <c r="O134" t="s">
        <v>1446</v>
      </c>
    </row>
    <row r="135" spans="1:15" x14ac:dyDescent="0.3">
      <c r="A135" t="s">
        <v>155</v>
      </c>
      <c r="B135" t="s">
        <v>1439</v>
      </c>
      <c r="C135" t="s">
        <v>153</v>
      </c>
      <c r="D135" t="s">
        <v>151</v>
      </c>
      <c r="F135" t="s">
        <v>152</v>
      </c>
      <c r="G135" t="s">
        <v>1749</v>
      </c>
      <c r="H135" t="s">
        <v>1750</v>
      </c>
      <c r="I135" t="s">
        <v>1442</v>
      </c>
      <c r="J135" t="s">
        <v>1443</v>
      </c>
      <c r="K135" t="s">
        <v>1483</v>
      </c>
      <c r="M135">
        <v>4</v>
      </c>
      <c r="N135" t="s">
        <v>1751</v>
      </c>
      <c r="O135" t="s">
        <v>1446</v>
      </c>
    </row>
    <row r="136" spans="1:15" x14ac:dyDescent="0.3">
      <c r="A136" t="s">
        <v>1008</v>
      </c>
      <c r="B136" t="s">
        <v>1439</v>
      </c>
      <c r="C136" t="s">
        <v>1005</v>
      </c>
      <c r="D136" t="s">
        <v>192</v>
      </c>
      <c r="F136" t="s">
        <v>1003</v>
      </c>
      <c r="G136" t="s">
        <v>1752</v>
      </c>
      <c r="H136" t="s">
        <v>1752</v>
      </c>
      <c r="I136" t="s">
        <v>1442</v>
      </c>
      <c r="J136" t="s">
        <v>1443</v>
      </c>
      <c r="K136" t="s">
        <v>1483</v>
      </c>
      <c r="M136">
        <v>12</v>
      </c>
      <c r="N136" t="s">
        <v>1753</v>
      </c>
      <c r="O136" t="s">
        <v>1446</v>
      </c>
    </row>
    <row r="137" spans="1:15" x14ac:dyDescent="0.3">
      <c r="A137" t="s">
        <v>1031</v>
      </c>
      <c r="B137" t="s">
        <v>1439</v>
      </c>
      <c r="C137" t="s">
        <v>1005</v>
      </c>
      <c r="D137" t="s">
        <v>1027</v>
      </c>
      <c r="F137" t="s">
        <v>1028</v>
      </c>
      <c r="G137" t="s">
        <v>1529</v>
      </c>
      <c r="H137" t="s">
        <v>1754</v>
      </c>
      <c r="I137" t="s">
        <v>1442</v>
      </c>
      <c r="J137" t="s">
        <v>1443</v>
      </c>
      <c r="K137" t="s">
        <v>1444</v>
      </c>
      <c r="M137">
        <v>12</v>
      </c>
      <c r="N137" t="s">
        <v>1755</v>
      </c>
      <c r="O137" t="s">
        <v>1446</v>
      </c>
    </row>
    <row r="138" spans="1:15" x14ac:dyDescent="0.3">
      <c r="A138" t="s">
        <v>125</v>
      </c>
      <c r="B138" t="s">
        <v>1439</v>
      </c>
      <c r="C138" t="s">
        <v>1756</v>
      </c>
      <c r="D138" t="s">
        <v>32</v>
      </c>
      <c r="F138" t="s">
        <v>120</v>
      </c>
      <c r="G138" t="s">
        <v>1757</v>
      </c>
      <c r="H138" t="s">
        <v>1758</v>
      </c>
      <c r="I138" t="s">
        <v>1442</v>
      </c>
      <c r="J138" t="s">
        <v>1443</v>
      </c>
      <c r="K138" t="s">
        <v>1444</v>
      </c>
      <c r="M138">
        <v>24</v>
      </c>
      <c r="N138" t="s">
        <v>1759</v>
      </c>
      <c r="O138" t="s">
        <v>1446</v>
      </c>
    </row>
    <row r="139" spans="1:15" x14ac:dyDescent="0.3">
      <c r="A139" t="s">
        <v>702</v>
      </c>
      <c r="B139" t="s">
        <v>1439</v>
      </c>
      <c r="C139" t="s">
        <v>700</v>
      </c>
      <c r="D139" t="s">
        <v>698</v>
      </c>
      <c r="F139" t="s">
        <v>699</v>
      </c>
      <c r="G139" t="s">
        <v>1760</v>
      </c>
      <c r="H139" t="s">
        <v>1761</v>
      </c>
      <c r="I139" t="s">
        <v>1442</v>
      </c>
      <c r="J139" t="s">
        <v>1443</v>
      </c>
      <c r="K139" t="s">
        <v>1622</v>
      </c>
      <c r="L139">
        <v>1600000</v>
      </c>
      <c r="M139">
        <v>12</v>
      </c>
      <c r="N139" t="s">
        <v>1762</v>
      </c>
      <c r="O139" t="s">
        <v>1446</v>
      </c>
    </row>
    <row r="140" spans="1:15" x14ac:dyDescent="0.3">
      <c r="A140" t="s">
        <v>1077</v>
      </c>
      <c r="B140" t="s">
        <v>1439</v>
      </c>
      <c r="C140" t="s">
        <v>1763</v>
      </c>
      <c r="D140" t="s">
        <v>1071</v>
      </c>
      <c r="F140" t="s">
        <v>1072</v>
      </c>
      <c r="G140" t="s">
        <v>1664</v>
      </c>
      <c r="H140" t="s">
        <v>1764</v>
      </c>
      <c r="I140" t="s">
        <v>1442</v>
      </c>
      <c r="J140" t="s">
        <v>1443</v>
      </c>
      <c r="K140" t="s">
        <v>1483</v>
      </c>
      <c r="M140">
        <v>4</v>
      </c>
      <c r="N140" t="s">
        <v>1765</v>
      </c>
      <c r="O140" t="s">
        <v>1446</v>
      </c>
    </row>
    <row r="141" spans="1:15" x14ac:dyDescent="0.3">
      <c r="A141" t="s">
        <v>298</v>
      </c>
      <c r="B141" t="s">
        <v>1439</v>
      </c>
      <c r="C141" t="s">
        <v>295</v>
      </c>
      <c r="D141" t="s">
        <v>292</v>
      </c>
      <c r="F141" t="s">
        <v>293</v>
      </c>
      <c r="G141" t="s">
        <v>1440</v>
      </c>
      <c r="H141" t="s">
        <v>1766</v>
      </c>
      <c r="I141" t="s">
        <v>1442</v>
      </c>
      <c r="J141" t="s">
        <v>1448</v>
      </c>
      <c r="K141" t="s">
        <v>1483</v>
      </c>
      <c r="M141">
        <v>4</v>
      </c>
      <c r="N141" t="s">
        <v>1767</v>
      </c>
      <c r="O141" t="s">
        <v>1446</v>
      </c>
    </row>
    <row r="142" spans="1:15" x14ac:dyDescent="0.3">
      <c r="A142" t="s">
        <v>776</v>
      </c>
      <c r="B142" t="s">
        <v>1439</v>
      </c>
      <c r="C142" t="s">
        <v>1768</v>
      </c>
      <c r="D142" t="s">
        <v>32</v>
      </c>
      <c r="F142" t="s">
        <v>771</v>
      </c>
      <c r="G142" t="s">
        <v>1769</v>
      </c>
      <c r="H142" t="s">
        <v>1769</v>
      </c>
      <c r="I142" t="s">
        <v>1442</v>
      </c>
      <c r="J142" t="s">
        <v>1443</v>
      </c>
      <c r="K142" t="s">
        <v>1483</v>
      </c>
      <c r="M142">
        <v>12</v>
      </c>
      <c r="N142" t="s">
        <v>1770</v>
      </c>
      <c r="O142" t="s">
        <v>1446</v>
      </c>
    </row>
    <row r="143" spans="1:15" x14ac:dyDescent="0.3">
      <c r="A143" t="s">
        <v>855</v>
      </c>
      <c r="B143" t="s">
        <v>1439</v>
      </c>
      <c r="C143" t="s">
        <v>1771</v>
      </c>
      <c r="D143" t="s">
        <v>849</v>
      </c>
      <c r="F143" t="s">
        <v>850</v>
      </c>
      <c r="G143" t="s">
        <v>1685</v>
      </c>
      <c r="H143" t="s">
        <v>1685</v>
      </c>
      <c r="I143" t="s">
        <v>1442</v>
      </c>
      <c r="J143" t="s">
        <v>1448</v>
      </c>
      <c r="K143" t="s">
        <v>1444</v>
      </c>
      <c r="M143">
        <v>12</v>
      </c>
      <c r="N143" t="s">
        <v>1772</v>
      </c>
      <c r="O143" t="s">
        <v>1446</v>
      </c>
    </row>
    <row r="144" spans="1:15" x14ac:dyDescent="0.3">
      <c r="A144" t="s">
        <v>1109</v>
      </c>
      <c r="B144" t="s">
        <v>1439</v>
      </c>
      <c r="C144" t="s">
        <v>1107</v>
      </c>
      <c r="D144" t="s">
        <v>334</v>
      </c>
      <c r="F144" t="s">
        <v>1106</v>
      </c>
      <c r="G144" t="s">
        <v>1598</v>
      </c>
      <c r="H144" t="s">
        <v>1598</v>
      </c>
      <c r="I144" t="s">
        <v>1442</v>
      </c>
      <c r="J144" t="s">
        <v>1448</v>
      </c>
      <c r="K144" t="s">
        <v>1444</v>
      </c>
      <c r="L144">
        <v>200000</v>
      </c>
      <c r="M144">
        <v>36</v>
      </c>
      <c r="N144" t="s">
        <v>1773</v>
      </c>
      <c r="O144" t="s">
        <v>1446</v>
      </c>
    </row>
    <row r="145" spans="1:15" x14ac:dyDescent="0.3">
      <c r="A145" t="s">
        <v>517</v>
      </c>
      <c r="B145" t="s">
        <v>1601</v>
      </c>
      <c r="C145" t="s">
        <v>1774</v>
      </c>
      <c r="D145" t="s">
        <v>511</v>
      </c>
      <c r="F145" t="s">
        <v>512</v>
      </c>
      <c r="G145" t="s">
        <v>1447</v>
      </c>
      <c r="H145" t="s">
        <v>1447</v>
      </c>
      <c r="I145" t="s">
        <v>1442</v>
      </c>
      <c r="J145" t="s">
        <v>1443</v>
      </c>
      <c r="K145" t="s">
        <v>1444</v>
      </c>
      <c r="M145">
        <v>6</v>
      </c>
      <c r="N145" t="s">
        <v>1775</v>
      </c>
      <c r="O145" t="s">
        <v>1446</v>
      </c>
    </row>
    <row r="146" spans="1:15" x14ac:dyDescent="0.3">
      <c r="A146" t="s">
        <v>315</v>
      </c>
      <c r="B146" t="s">
        <v>1439</v>
      </c>
      <c r="C146" t="s">
        <v>312</v>
      </c>
      <c r="D146" t="s">
        <v>284</v>
      </c>
      <c r="F146" t="s">
        <v>310</v>
      </c>
      <c r="G146" t="s">
        <v>1589</v>
      </c>
      <c r="H146" t="s">
        <v>1589</v>
      </c>
      <c r="I146" t="s">
        <v>1442</v>
      </c>
      <c r="J146" t="s">
        <v>1443</v>
      </c>
      <c r="K146" t="s">
        <v>1483</v>
      </c>
      <c r="L146">
        <v>342282</v>
      </c>
      <c r="M146">
        <v>7</v>
      </c>
      <c r="N146" t="s">
        <v>1776</v>
      </c>
      <c r="O146" t="s">
        <v>1446</v>
      </c>
    </row>
    <row r="147" spans="1:15" x14ac:dyDescent="0.3">
      <c r="A147" t="s">
        <v>900</v>
      </c>
      <c r="B147" t="s">
        <v>1439</v>
      </c>
      <c r="C147" t="s">
        <v>1777</v>
      </c>
      <c r="D147" t="s">
        <v>762</v>
      </c>
      <c r="F147" t="s">
        <v>896</v>
      </c>
      <c r="G147" t="s">
        <v>1778</v>
      </c>
      <c r="H147" t="s">
        <v>1779</v>
      </c>
      <c r="I147" t="s">
        <v>1442</v>
      </c>
      <c r="J147" t="s">
        <v>1443</v>
      </c>
      <c r="K147" t="s">
        <v>1483</v>
      </c>
      <c r="M147">
        <v>12</v>
      </c>
      <c r="N147" t="s">
        <v>1780</v>
      </c>
      <c r="O147" t="s">
        <v>1446</v>
      </c>
    </row>
    <row r="148" spans="1:15" x14ac:dyDescent="0.3">
      <c r="A148" t="s">
        <v>470</v>
      </c>
      <c r="B148" t="s">
        <v>1439</v>
      </c>
      <c r="C148" t="s">
        <v>1781</v>
      </c>
      <c r="D148" t="s">
        <v>464</v>
      </c>
      <c r="F148" t="s">
        <v>465</v>
      </c>
      <c r="G148" t="s">
        <v>1782</v>
      </c>
      <c r="H148" t="s">
        <v>1783</v>
      </c>
      <c r="I148" t="s">
        <v>1442</v>
      </c>
      <c r="J148" t="s">
        <v>1443</v>
      </c>
      <c r="K148" t="s">
        <v>1483</v>
      </c>
      <c r="L148">
        <v>38000</v>
      </c>
      <c r="M148">
        <v>12</v>
      </c>
      <c r="N148" t="s">
        <v>1784</v>
      </c>
      <c r="O148" t="s">
        <v>1446</v>
      </c>
    </row>
    <row r="149" spans="1:15" x14ac:dyDescent="0.3">
      <c r="A149" t="s">
        <v>30</v>
      </c>
      <c r="B149" t="s">
        <v>1439</v>
      </c>
      <c r="C149" t="s">
        <v>28</v>
      </c>
      <c r="D149" t="s">
        <v>26</v>
      </c>
      <c r="F149" t="s">
        <v>27</v>
      </c>
      <c r="G149" t="s">
        <v>1447</v>
      </c>
      <c r="H149" t="s">
        <v>1447</v>
      </c>
      <c r="I149" t="s">
        <v>1442</v>
      </c>
      <c r="J149" t="s">
        <v>1443</v>
      </c>
      <c r="K149" t="s">
        <v>1444</v>
      </c>
      <c r="L149">
        <v>1000000</v>
      </c>
      <c r="M149">
        <v>12</v>
      </c>
      <c r="N149" t="s">
        <v>1785</v>
      </c>
      <c r="O149" t="s">
        <v>1446</v>
      </c>
    </row>
    <row r="150" spans="1:15" x14ac:dyDescent="0.3">
      <c r="A150" t="s">
        <v>784</v>
      </c>
      <c r="B150" t="s">
        <v>1601</v>
      </c>
      <c r="C150" t="s">
        <v>641</v>
      </c>
      <c r="D150" t="s">
        <v>334</v>
      </c>
      <c r="F150" t="s">
        <v>780</v>
      </c>
      <c r="G150" t="s">
        <v>1546</v>
      </c>
      <c r="H150" t="s">
        <v>1604</v>
      </c>
      <c r="I150" t="s">
        <v>1442</v>
      </c>
      <c r="J150" t="s">
        <v>1443</v>
      </c>
      <c r="K150" t="s">
        <v>1444</v>
      </c>
      <c r="M150">
        <v>12</v>
      </c>
      <c r="N150" t="s">
        <v>1786</v>
      </c>
      <c r="O150" t="s">
        <v>1446</v>
      </c>
    </row>
    <row r="151" spans="1:15" x14ac:dyDescent="0.3">
      <c r="A151" t="s">
        <v>383</v>
      </c>
      <c r="B151" t="s">
        <v>1439</v>
      </c>
      <c r="C151" t="s">
        <v>381</v>
      </c>
      <c r="D151" t="s">
        <v>379</v>
      </c>
      <c r="F151" t="s">
        <v>380</v>
      </c>
      <c r="G151" t="s">
        <v>1514</v>
      </c>
      <c r="H151" t="s">
        <v>1514</v>
      </c>
      <c r="I151" t="s">
        <v>1442</v>
      </c>
      <c r="J151" t="s">
        <v>1448</v>
      </c>
      <c r="K151" t="s">
        <v>1444</v>
      </c>
      <c r="M151">
        <v>24</v>
      </c>
      <c r="N151" t="s">
        <v>1787</v>
      </c>
      <c r="O151" t="s">
        <v>1446</v>
      </c>
    </row>
    <row r="152" spans="1:15" x14ac:dyDescent="0.3">
      <c r="A152" t="s">
        <v>208</v>
      </c>
      <c r="B152" t="s">
        <v>1788</v>
      </c>
      <c r="C152" t="s">
        <v>206</v>
      </c>
      <c r="D152" t="s">
        <v>201</v>
      </c>
      <c r="F152" t="s">
        <v>203</v>
      </c>
      <c r="G152" t="s">
        <v>1789</v>
      </c>
      <c r="H152" t="s">
        <v>1790</v>
      </c>
      <c r="I152" t="s">
        <v>1442</v>
      </c>
      <c r="J152" t="s">
        <v>1443</v>
      </c>
      <c r="K152" t="s">
        <v>1622</v>
      </c>
      <c r="M152">
        <v>16</v>
      </c>
      <c r="N152" t="s">
        <v>1791</v>
      </c>
      <c r="O152" t="s">
        <v>1446</v>
      </c>
    </row>
    <row r="153" spans="1:15" x14ac:dyDescent="0.3">
      <c r="A153" t="s">
        <v>401</v>
      </c>
      <c r="B153" t="s">
        <v>1788</v>
      </c>
      <c r="C153" t="s">
        <v>1792</v>
      </c>
      <c r="D153" t="s">
        <v>394</v>
      </c>
      <c r="F153" t="s">
        <v>396</v>
      </c>
      <c r="G153" t="s">
        <v>1793</v>
      </c>
      <c r="H153" t="s">
        <v>1794</v>
      </c>
      <c r="I153" t="s">
        <v>1442</v>
      </c>
      <c r="J153" t="s">
        <v>1443</v>
      </c>
      <c r="K153" t="s">
        <v>1483</v>
      </c>
      <c r="L153">
        <v>40000</v>
      </c>
      <c r="M153">
        <v>12</v>
      </c>
      <c r="N153" t="s">
        <v>1795</v>
      </c>
      <c r="O153" t="s">
        <v>1446</v>
      </c>
    </row>
    <row r="154" spans="1:15" x14ac:dyDescent="0.3">
      <c r="A154" t="s">
        <v>185</v>
      </c>
      <c r="B154" t="s">
        <v>1788</v>
      </c>
      <c r="C154" t="s">
        <v>521</v>
      </c>
      <c r="D154" t="s">
        <v>32</v>
      </c>
      <c r="F154" t="s">
        <v>180</v>
      </c>
      <c r="G154" t="s">
        <v>1510</v>
      </c>
      <c r="H154" t="s">
        <v>1510</v>
      </c>
      <c r="I154" t="s">
        <v>1442</v>
      </c>
      <c r="J154" t="s">
        <v>1443</v>
      </c>
      <c r="K154" t="s">
        <v>1444</v>
      </c>
      <c r="L154">
        <v>500000</v>
      </c>
      <c r="M154">
        <v>12</v>
      </c>
      <c r="N154" t="s">
        <v>1796</v>
      </c>
      <c r="O154" t="s">
        <v>1446</v>
      </c>
    </row>
    <row r="155" spans="1:15" x14ac:dyDescent="0.3">
      <c r="A155" t="s">
        <v>497</v>
      </c>
      <c r="B155" t="s">
        <v>1788</v>
      </c>
      <c r="C155" t="s">
        <v>495</v>
      </c>
      <c r="D155" t="s">
        <v>490</v>
      </c>
      <c r="F155" t="s">
        <v>492</v>
      </c>
      <c r="G155" t="s">
        <v>1546</v>
      </c>
      <c r="H155" t="s">
        <v>1546</v>
      </c>
      <c r="I155" t="s">
        <v>1442</v>
      </c>
      <c r="J155" t="s">
        <v>1443</v>
      </c>
      <c r="K155" t="s">
        <v>1444</v>
      </c>
      <c r="M155">
        <v>24</v>
      </c>
      <c r="N155" t="s">
        <v>1797</v>
      </c>
      <c r="O155" t="s">
        <v>1446</v>
      </c>
    </row>
    <row r="156" spans="1:15" x14ac:dyDescent="0.3">
      <c r="A156" t="s">
        <v>224</v>
      </c>
      <c r="B156" t="s">
        <v>1788</v>
      </c>
      <c r="C156" t="s">
        <v>1798</v>
      </c>
      <c r="D156" t="s">
        <v>32</v>
      </c>
      <c r="F156" t="s">
        <v>220</v>
      </c>
      <c r="G156" t="s">
        <v>1553</v>
      </c>
      <c r="H156" t="s">
        <v>1799</v>
      </c>
      <c r="I156" t="s">
        <v>1442</v>
      </c>
      <c r="J156" t="s">
        <v>1443</v>
      </c>
      <c r="K156" t="s">
        <v>1444</v>
      </c>
      <c r="M156">
        <v>12</v>
      </c>
      <c r="N156" t="s">
        <v>1800</v>
      </c>
      <c r="O156" t="s">
        <v>1446</v>
      </c>
    </row>
    <row r="157" spans="1:15" x14ac:dyDescent="0.3">
      <c r="A157" t="s">
        <v>965</v>
      </c>
      <c r="B157" t="s">
        <v>1788</v>
      </c>
      <c r="C157" t="s">
        <v>1801</v>
      </c>
      <c r="D157" t="s">
        <v>169</v>
      </c>
      <c r="F157" t="s">
        <v>960</v>
      </c>
      <c r="G157" t="s">
        <v>1802</v>
      </c>
      <c r="H157" t="s">
        <v>1802</v>
      </c>
      <c r="I157" t="s">
        <v>1442</v>
      </c>
      <c r="J157" t="s">
        <v>1448</v>
      </c>
      <c r="K157" t="s">
        <v>1444</v>
      </c>
      <c r="N157" t="s">
        <v>1803</v>
      </c>
      <c r="O157" t="s">
        <v>1446</v>
      </c>
    </row>
    <row r="158" spans="1:15" x14ac:dyDescent="0.3">
      <c r="A158" t="s">
        <v>48</v>
      </c>
      <c r="B158" t="s">
        <v>1788</v>
      </c>
      <c r="C158" t="s">
        <v>46</v>
      </c>
      <c r="D158" t="s">
        <v>41</v>
      </c>
      <c r="F158" t="s">
        <v>43</v>
      </c>
      <c r="G158" t="s">
        <v>1479</v>
      </c>
      <c r="H158" t="s">
        <v>1479</v>
      </c>
      <c r="I158" t="s">
        <v>1442</v>
      </c>
      <c r="J158" t="s">
        <v>1443</v>
      </c>
      <c r="K158" t="s">
        <v>1444</v>
      </c>
      <c r="N158" t="s">
        <v>1804</v>
      </c>
      <c r="O158" t="s">
        <v>1446</v>
      </c>
    </row>
    <row r="159" spans="1:15" x14ac:dyDescent="0.3">
      <c r="A159" t="s">
        <v>449</v>
      </c>
      <c r="B159" t="s">
        <v>1788</v>
      </c>
      <c r="C159" t="s">
        <v>1805</v>
      </c>
      <c r="D159" t="s">
        <v>443</v>
      </c>
      <c r="F159" t="s">
        <v>445</v>
      </c>
      <c r="G159" t="s">
        <v>1473</v>
      </c>
      <c r="H159" t="s">
        <v>1806</v>
      </c>
      <c r="I159" t="s">
        <v>1442</v>
      </c>
      <c r="J159" t="s">
        <v>1443</v>
      </c>
      <c r="K159" t="s">
        <v>1444</v>
      </c>
      <c r="M159">
        <v>48</v>
      </c>
      <c r="N159" t="s">
        <v>1807</v>
      </c>
      <c r="O159" t="s">
        <v>1446</v>
      </c>
    </row>
    <row r="160" spans="1:15" x14ac:dyDescent="0.3">
      <c r="A160" t="s">
        <v>733</v>
      </c>
      <c r="B160" t="s">
        <v>1788</v>
      </c>
      <c r="C160" t="s">
        <v>729</v>
      </c>
      <c r="D160" t="s">
        <v>727</v>
      </c>
      <c r="F160" t="s">
        <v>728</v>
      </c>
      <c r="G160" t="s">
        <v>1620</v>
      </c>
      <c r="H160" t="s">
        <v>1621</v>
      </c>
      <c r="I160" t="s">
        <v>1442</v>
      </c>
      <c r="J160" t="s">
        <v>1443</v>
      </c>
      <c r="K160" t="s">
        <v>1622</v>
      </c>
      <c r="M160">
        <v>18</v>
      </c>
      <c r="N160" t="s">
        <v>1808</v>
      </c>
      <c r="O160" t="s">
        <v>1446</v>
      </c>
    </row>
    <row r="161" spans="1:15" x14ac:dyDescent="0.3">
      <c r="A161" t="s">
        <v>881</v>
      </c>
      <c r="B161" t="s">
        <v>1788</v>
      </c>
      <c r="C161" t="s">
        <v>879</v>
      </c>
      <c r="D161" t="s">
        <v>72</v>
      </c>
      <c r="F161" t="s">
        <v>876</v>
      </c>
      <c r="G161" t="s">
        <v>1809</v>
      </c>
      <c r="H161" t="s">
        <v>1810</v>
      </c>
      <c r="I161" t="s">
        <v>1442</v>
      </c>
      <c r="J161" t="s">
        <v>1496</v>
      </c>
      <c r="K161" t="s">
        <v>1444</v>
      </c>
      <c r="L161">
        <v>600000</v>
      </c>
      <c r="M161">
        <v>48</v>
      </c>
      <c r="N161" t="s">
        <v>1811</v>
      </c>
      <c r="O161" t="s">
        <v>1446</v>
      </c>
    </row>
    <row r="162" spans="1:15" x14ac:dyDescent="0.3">
      <c r="A162" t="s">
        <v>725</v>
      </c>
      <c r="B162" t="s">
        <v>1788</v>
      </c>
      <c r="C162" t="s">
        <v>723</v>
      </c>
      <c r="D162" t="s">
        <v>32</v>
      </c>
      <c r="F162" t="s">
        <v>720</v>
      </c>
      <c r="G162" t="s">
        <v>1550</v>
      </c>
      <c r="H162" t="s">
        <v>1550</v>
      </c>
      <c r="I162" t="s">
        <v>1442</v>
      </c>
      <c r="J162" t="s">
        <v>1443</v>
      </c>
      <c r="K162" t="s">
        <v>1483</v>
      </c>
      <c r="M162">
        <v>48</v>
      </c>
      <c r="N162" t="s">
        <v>1812</v>
      </c>
      <c r="O162" t="s">
        <v>1446</v>
      </c>
    </row>
    <row r="163" spans="1:15" x14ac:dyDescent="0.3">
      <c r="A163" t="s">
        <v>1009</v>
      </c>
      <c r="B163" t="s">
        <v>1788</v>
      </c>
      <c r="C163" t="s">
        <v>1813</v>
      </c>
      <c r="D163" t="s">
        <v>192</v>
      </c>
      <c r="F163" t="s">
        <v>1004</v>
      </c>
      <c r="G163" t="s">
        <v>1814</v>
      </c>
      <c r="H163" t="s">
        <v>1814</v>
      </c>
      <c r="I163" t="s">
        <v>1442</v>
      </c>
      <c r="J163" t="s">
        <v>1548</v>
      </c>
      <c r="K163" t="s">
        <v>1444</v>
      </c>
      <c r="L163">
        <v>350</v>
      </c>
      <c r="M163">
        <v>28</v>
      </c>
      <c r="N163" t="s">
        <v>1815</v>
      </c>
      <c r="O163" t="s">
        <v>1446</v>
      </c>
    </row>
    <row r="164" spans="1:15" x14ac:dyDescent="0.3">
      <c r="A164" t="s">
        <v>571</v>
      </c>
      <c r="B164" t="s">
        <v>1788</v>
      </c>
      <c r="C164" t="s">
        <v>569</v>
      </c>
      <c r="D164" t="s">
        <v>32</v>
      </c>
      <c r="F164" t="s">
        <v>567</v>
      </c>
      <c r="G164" t="s">
        <v>1452</v>
      </c>
      <c r="H164" t="s">
        <v>1452</v>
      </c>
      <c r="I164" t="s">
        <v>1442</v>
      </c>
      <c r="J164" t="s">
        <v>1443</v>
      </c>
      <c r="K164" t="s">
        <v>1444</v>
      </c>
      <c r="M164">
        <v>24</v>
      </c>
      <c r="N164" t="s">
        <v>1816</v>
      </c>
      <c r="O164" t="s">
        <v>1446</v>
      </c>
    </row>
    <row r="165" spans="1:15" x14ac:dyDescent="0.3">
      <c r="A165" t="s">
        <v>534</v>
      </c>
      <c r="B165" t="s">
        <v>1788</v>
      </c>
      <c r="C165" t="s">
        <v>532</v>
      </c>
      <c r="D165" t="s">
        <v>527</v>
      </c>
      <c r="F165" t="s">
        <v>529</v>
      </c>
      <c r="G165" t="s">
        <v>1538</v>
      </c>
      <c r="H165" t="s">
        <v>1538</v>
      </c>
      <c r="I165" t="s">
        <v>1442</v>
      </c>
      <c r="J165" t="s">
        <v>1448</v>
      </c>
      <c r="K165" t="s">
        <v>1444</v>
      </c>
      <c r="M165">
        <v>36</v>
      </c>
      <c r="N165" t="s">
        <v>1817</v>
      </c>
      <c r="O165" t="s">
        <v>1446</v>
      </c>
    </row>
    <row r="166" spans="1:15" x14ac:dyDescent="0.3">
      <c r="A166" t="s">
        <v>276</v>
      </c>
      <c r="B166" t="s">
        <v>1788</v>
      </c>
      <c r="C166" t="s">
        <v>1102</v>
      </c>
      <c r="D166" t="s">
        <v>80</v>
      </c>
      <c r="F166" t="s">
        <v>271</v>
      </c>
      <c r="G166" t="s">
        <v>1651</v>
      </c>
      <c r="H166" t="s">
        <v>1818</v>
      </c>
      <c r="I166" t="s">
        <v>1442</v>
      </c>
      <c r="J166" t="s">
        <v>1443</v>
      </c>
      <c r="K166" t="s">
        <v>1483</v>
      </c>
      <c r="M166">
        <v>10</v>
      </c>
      <c r="N166" t="s">
        <v>1819</v>
      </c>
      <c r="O166" t="s">
        <v>1446</v>
      </c>
    </row>
    <row r="167" spans="1:15" x14ac:dyDescent="0.3">
      <c r="A167" t="s">
        <v>87</v>
      </c>
      <c r="B167" t="s">
        <v>1788</v>
      </c>
      <c r="C167" t="s">
        <v>1820</v>
      </c>
      <c r="D167" t="s">
        <v>80</v>
      </c>
      <c r="F167" t="s">
        <v>82</v>
      </c>
      <c r="G167" t="s">
        <v>1821</v>
      </c>
      <c r="H167" t="s">
        <v>1821</v>
      </c>
      <c r="I167" t="s">
        <v>1442</v>
      </c>
      <c r="J167" t="s">
        <v>1448</v>
      </c>
      <c r="K167" t="s">
        <v>1444</v>
      </c>
      <c r="M167">
        <v>48</v>
      </c>
      <c r="N167" t="s">
        <v>1822</v>
      </c>
      <c r="O167" t="s">
        <v>1446</v>
      </c>
    </row>
    <row r="168" spans="1:15" x14ac:dyDescent="0.3">
      <c r="A168" t="s">
        <v>1104</v>
      </c>
      <c r="B168" t="s">
        <v>1788</v>
      </c>
      <c r="C168" t="s">
        <v>1823</v>
      </c>
      <c r="D168" t="s">
        <v>1089</v>
      </c>
      <c r="F168" t="s">
        <v>1099</v>
      </c>
      <c r="G168" t="s">
        <v>1456</v>
      </c>
      <c r="H168" t="s">
        <v>1824</v>
      </c>
      <c r="I168" t="s">
        <v>1442</v>
      </c>
      <c r="J168" t="s">
        <v>1443</v>
      </c>
      <c r="K168" t="s">
        <v>1444</v>
      </c>
      <c r="M168">
        <v>48</v>
      </c>
      <c r="N168" t="s">
        <v>1825</v>
      </c>
      <c r="O168" t="s">
        <v>1446</v>
      </c>
    </row>
    <row r="169" spans="1:15" x14ac:dyDescent="0.3">
      <c r="A169" t="s">
        <v>242</v>
      </c>
      <c r="B169" t="s">
        <v>1788</v>
      </c>
      <c r="C169" t="s">
        <v>240</v>
      </c>
      <c r="D169" t="s">
        <v>235</v>
      </c>
      <c r="F169" t="s">
        <v>237</v>
      </c>
      <c r="G169" t="s">
        <v>1826</v>
      </c>
      <c r="H169" t="s">
        <v>1826</v>
      </c>
      <c r="I169" t="s">
        <v>1442</v>
      </c>
      <c r="J169" t="s">
        <v>1448</v>
      </c>
      <c r="K169" t="s">
        <v>1444</v>
      </c>
      <c r="L169">
        <v>1</v>
      </c>
      <c r="N169" t="s">
        <v>1827</v>
      </c>
      <c r="O169" t="s">
        <v>1446</v>
      </c>
    </row>
    <row r="170" spans="1:15" x14ac:dyDescent="0.3">
      <c r="A170" t="s">
        <v>747</v>
      </c>
      <c r="B170" t="s">
        <v>1788</v>
      </c>
      <c r="C170" t="s">
        <v>1013</v>
      </c>
      <c r="D170" t="s">
        <v>32</v>
      </c>
      <c r="F170" t="s">
        <v>742</v>
      </c>
      <c r="G170" t="s">
        <v>1828</v>
      </c>
      <c r="H170" t="s">
        <v>1828</v>
      </c>
      <c r="I170" t="s">
        <v>1442</v>
      </c>
      <c r="J170" t="s">
        <v>1443</v>
      </c>
      <c r="K170" t="s">
        <v>1444</v>
      </c>
      <c r="M170">
        <v>12</v>
      </c>
      <c r="N170" t="s">
        <v>1829</v>
      </c>
      <c r="O170" t="s">
        <v>1446</v>
      </c>
    </row>
    <row r="171" spans="1:15" x14ac:dyDescent="0.3">
      <c r="A171" t="s">
        <v>683</v>
      </c>
      <c r="B171" t="s">
        <v>1788</v>
      </c>
      <c r="C171" t="s">
        <v>681</v>
      </c>
      <c r="D171" t="s">
        <v>41</v>
      </c>
      <c r="F171" t="s">
        <v>679</v>
      </c>
      <c r="G171" t="s">
        <v>1454</v>
      </c>
      <c r="H171" t="s">
        <v>1454</v>
      </c>
      <c r="I171" t="s">
        <v>1442</v>
      </c>
      <c r="J171" t="s">
        <v>1443</v>
      </c>
      <c r="K171" t="s">
        <v>1483</v>
      </c>
      <c r="M171">
        <v>77</v>
      </c>
      <c r="N171" t="s">
        <v>1830</v>
      </c>
      <c r="O171" t="s">
        <v>1446</v>
      </c>
    </row>
    <row r="172" spans="1:15" x14ac:dyDescent="0.3">
      <c r="A172" t="s">
        <v>509</v>
      </c>
      <c r="B172" t="s">
        <v>1788</v>
      </c>
      <c r="C172" t="s">
        <v>1831</v>
      </c>
      <c r="D172" t="s">
        <v>261</v>
      </c>
      <c r="F172" t="s">
        <v>506</v>
      </c>
      <c r="G172" t="s">
        <v>1464</v>
      </c>
      <c r="H172" t="s">
        <v>1464</v>
      </c>
      <c r="I172" t="s">
        <v>1442</v>
      </c>
      <c r="J172" t="s">
        <v>1443</v>
      </c>
      <c r="K172" t="s">
        <v>1444</v>
      </c>
      <c r="L172">
        <v>2000000</v>
      </c>
      <c r="M172">
        <v>24</v>
      </c>
      <c r="N172" t="s">
        <v>1832</v>
      </c>
      <c r="O172" t="s">
        <v>1446</v>
      </c>
    </row>
    <row r="173" spans="1:15" x14ac:dyDescent="0.3">
      <c r="A173" t="s">
        <v>1050</v>
      </c>
      <c r="B173" t="s">
        <v>1788</v>
      </c>
      <c r="C173" t="s">
        <v>609</v>
      </c>
      <c r="D173" t="s">
        <v>170</v>
      </c>
      <c r="F173" t="s">
        <v>1045</v>
      </c>
      <c r="G173" t="s">
        <v>1492</v>
      </c>
      <c r="H173" t="s">
        <v>1492</v>
      </c>
      <c r="I173" t="s">
        <v>1442</v>
      </c>
      <c r="J173" t="s">
        <v>1448</v>
      </c>
      <c r="K173" t="s">
        <v>1444</v>
      </c>
      <c r="L173">
        <v>208000</v>
      </c>
      <c r="M173">
        <v>25</v>
      </c>
      <c r="N173" t="s">
        <v>1833</v>
      </c>
      <c r="O173" t="s">
        <v>1446</v>
      </c>
    </row>
    <row r="174" spans="1:15" x14ac:dyDescent="0.3">
      <c r="A174" t="s">
        <v>676</v>
      </c>
      <c r="B174" t="s">
        <v>1788</v>
      </c>
      <c r="C174" t="s">
        <v>1834</v>
      </c>
      <c r="D174" t="s">
        <v>32</v>
      </c>
      <c r="F174" t="s">
        <v>671</v>
      </c>
      <c r="G174" t="s">
        <v>1835</v>
      </c>
      <c r="H174" t="s">
        <v>1835</v>
      </c>
      <c r="I174" t="s">
        <v>1442</v>
      </c>
      <c r="J174" t="s">
        <v>1443</v>
      </c>
      <c r="K174" t="s">
        <v>1483</v>
      </c>
      <c r="M174">
        <v>12</v>
      </c>
      <c r="N174" t="s">
        <v>1836</v>
      </c>
      <c r="O174" t="s">
        <v>1446</v>
      </c>
    </row>
    <row r="175" spans="1:15" x14ac:dyDescent="0.3">
      <c r="A175" t="s">
        <v>1096</v>
      </c>
      <c r="B175" t="s">
        <v>1788</v>
      </c>
      <c r="C175" t="s">
        <v>1837</v>
      </c>
      <c r="D175" t="s">
        <v>1089</v>
      </c>
      <c r="F175" t="s">
        <v>1091</v>
      </c>
      <c r="G175" t="s">
        <v>1667</v>
      </c>
      <c r="H175" t="s">
        <v>1838</v>
      </c>
      <c r="I175" t="s">
        <v>1442</v>
      </c>
      <c r="J175" t="s">
        <v>1443</v>
      </c>
      <c r="K175" t="s">
        <v>1444</v>
      </c>
      <c r="M175">
        <v>48</v>
      </c>
      <c r="N175" t="s">
        <v>1839</v>
      </c>
      <c r="O175" t="s">
        <v>1446</v>
      </c>
    </row>
    <row r="176" spans="1:15" x14ac:dyDescent="0.3">
      <c r="A176" t="s">
        <v>929</v>
      </c>
      <c r="B176" t="s">
        <v>1788</v>
      </c>
      <c r="C176" t="s">
        <v>927</v>
      </c>
      <c r="D176" t="s">
        <v>922</v>
      </c>
      <c r="F176" t="s">
        <v>924</v>
      </c>
      <c r="G176" t="s">
        <v>1535</v>
      </c>
      <c r="H176" t="s">
        <v>1840</v>
      </c>
      <c r="I176" t="s">
        <v>1442</v>
      </c>
      <c r="J176" t="s">
        <v>1443</v>
      </c>
      <c r="K176" t="s">
        <v>1622</v>
      </c>
      <c r="M176">
        <v>18</v>
      </c>
      <c r="N176" t="s">
        <v>1841</v>
      </c>
      <c r="O176" t="s">
        <v>1446</v>
      </c>
    </row>
    <row r="177" spans="1:15" x14ac:dyDescent="0.3">
      <c r="A177" t="s">
        <v>259</v>
      </c>
      <c r="B177" t="s">
        <v>1788</v>
      </c>
      <c r="C177" t="s">
        <v>1842</v>
      </c>
      <c r="D177" t="s">
        <v>170</v>
      </c>
      <c r="F177" t="s">
        <v>254</v>
      </c>
      <c r="G177" t="s">
        <v>1843</v>
      </c>
      <c r="H177" t="s">
        <v>1844</v>
      </c>
      <c r="I177" t="s">
        <v>1442</v>
      </c>
      <c r="J177" t="s">
        <v>1443</v>
      </c>
      <c r="K177" t="s">
        <v>1483</v>
      </c>
      <c r="M177">
        <v>12</v>
      </c>
      <c r="N177" t="s">
        <v>1845</v>
      </c>
      <c r="O177" t="s">
        <v>1446</v>
      </c>
    </row>
    <row r="178" spans="1:15" x14ac:dyDescent="0.3">
      <c r="A178" t="s">
        <v>856</v>
      </c>
      <c r="B178" t="s">
        <v>1788</v>
      </c>
      <c r="C178" t="s">
        <v>1846</v>
      </c>
      <c r="D178" t="s">
        <v>849</v>
      </c>
      <c r="F178" t="s">
        <v>851</v>
      </c>
      <c r="G178" t="s">
        <v>1814</v>
      </c>
      <c r="H178" t="s">
        <v>1847</v>
      </c>
      <c r="I178" t="s">
        <v>1442</v>
      </c>
      <c r="J178" t="s">
        <v>1443</v>
      </c>
      <c r="K178" t="s">
        <v>1444</v>
      </c>
      <c r="L178">
        <v>350000</v>
      </c>
      <c r="M178">
        <v>48</v>
      </c>
      <c r="N178" t="s">
        <v>1848</v>
      </c>
      <c r="O178" t="s">
        <v>1446</v>
      </c>
    </row>
    <row r="179" spans="1:15" x14ac:dyDescent="0.3">
      <c r="A179" t="s">
        <v>70</v>
      </c>
      <c r="B179" t="s">
        <v>1788</v>
      </c>
      <c r="C179" t="s">
        <v>68</v>
      </c>
      <c r="D179" t="s">
        <v>63</v>
      </c>
      <c r="F179" t="s">
        <v>65</v>
      </c>
      <c r="G179" t="s">
        <v>1452</v>
      </c>
      <c r="H179" t="s">
        <v>1452</v>
      </c>
      <c r="I179" t="s">
        <v>1442</v>
      </c>
      <c r="J179" t="s">
        <v>1548</v>
      </c>
      <c r="K179" t="s">
        <v>1483</v>
      </c>
      <c r="M179">
        <v>60</v>
      </c>
      <c r="N179" t="s">
        <v>1849</v>
      </c>
      <c r="O179" t="s">
        <v>1446</v>
      </c>
    </row>
    <row r="180" spans="1:15" x14ac:dyDescent="0.3">
      <c r="A180" t="s">
        <v>190</v>
      </c>
      <c r="B180" t="s">
        <v>1788</v>
      </c>
      <c r="C180" t="s">
        <v>810</v>
      </c>
      <c r="D180" t="s">
        <v>32</v>
      </c>
      <c r="F180" t="s">
        <v>187</v>
      </c>
      <c r="G180" t="s">
        <v>1510</v>
      </c>
      <c r="H180" t="s">
        <v>1510</v>
      </c>
      <c r="I180" t="s">
        <v>1442</v>
      </c>
      <c r="J180" t="s">
        <v>1443</v>
      </c>
      <c r="K180" t="s">
        <v>1444</v>
      </c>
      <c r="M180">
        <v>12</v>
      </c>
      <c r="N180" t="s">
        <v>1850</v>
      </c>
      <c r="O180" t="s">
        <v>1446</v>
      </c>
    </row>
    <row r="181" spans="1:15" x14ac:dyDescent="0.3">
      <c r="A181" t="s">
        <v>812</v>
      </c>
      <c r="B181" t="s">
        <v>1788</v>
      </c>
      <c r="C181" t="s">
        <v>810</v>
      </c>
      <c r="D181" t="s">
        <v>128</v>
      </c>
      <c r="F181" t="s">
        <v>807</v>
      </c>
      <c r="G181" t="s">
        <v>1464</v>
      </c>
      <c r="H181" t="s">
        <v>1464</v>
      </c>
      <c r="I181" t="s">
        <v>1442</v>
      </c>
      <c r="J181" t="s">
        <v>1548</v>
      </c>
      <c r="K181" t="s">
        <v>1444</v>
      </c>
      <c r="M181">
        <v>48</v>
      </c>
      <c r="N181" t="s">
        <v>1851</v>
      </c>
      <c r="O181" t="s">
        <v>1446</v>
      </c>
    </row>
    <row r="182" spans="1:15" x14ac:dyDescent="0.3">
      <c r="A182" t="s">
        <v>324</v>
      </c>
      <c r="B182" t="s">
        <v>1788</v>
      </c>
      <c r="C182" t="s">
        <v>322</v>
      </c>
      <c r="D182" t="s">
        <v>128</v>
      </c>
      <c r="F182" t="s">
        <v>319</v>
      </c>
      <c r="G182" t="s">
        <v>1452</v>
      </c>
      <c r="H182" t="s">
        <v>1452</v>
      </c>
      <c r="I182" t="s">
        <v>1442</v>
      </c>
      <c r="J182" t="s">
        <v>1548</v>
      </c>
      <c r="K182" t="s">
        <v>1483</v>
      </c>
      <c r="M182">
        <v>60</v>
      </c>
      <c r="N182" t="s">
        <v>1852</v>
      </c>
      <c r="O182" t="s">
        <v>1446</v>
      </c>
    </row>
    <row r="183" spans="1:15" x14ac:dyDescent="0.3">
      <c r="A183" t="s">
        <v>290</v>
      </c>
      <c r="B183" t="s">
        <v>1788</v>
      </c>
      <c r="C183" t="s">
        <v>1853</v>
      </c>
      <c r="D183" t="s">
        <v>284</v>
      </c>
      <c r="F183" t="s">
        <v>285</v>
      </c>
      <c r="G183" t="s">
        <v>1660</v>
      </c>
      <c r="H183" t="s">
        <v>1691</v>
      </c>
      <c r="I183" t="s">
        <v>1442</v>
      </c>
      <c r="J183" t="s">
        <v>1443</v>
      </c>
      <c r="K183" t="s">
        <v>1483</v>
      </c>
      <c r="M183">
        <v>12</v>
      </c>
      <c r="N183" t="s">
        <v>1854</v>
      </c>
      <c r="O183" t="s">
        <v>1446</v>
      </c>
    </row>
    <row r="184" spans="1:15" x14ac:dyDescent="0.3">
      <c r="A184" t="s">
        <v>341</v>
      </c>
      <c r="B184" t="s">
        <v>1788</v>
      </c>
      <c r="C184" t="s">
        <v>339</v>
      </c>
      <c r="D184" t="s">
        <v>334</v>
      </c>
      <c r="F184" t="s">
        <v>336</v>
      </c>
      <c r="G184" t="s">
        <v>1546</v>
      </c>
      <c r="H184" t="s">
        <v>1546</v>
      </c>
      <c r="I184" t="s">
        <v>1442</v>
      </c>
      <c r="J184" t="s">
        <v>1443</v>
      </c>
      <c r="K184" t="s">
        <v>1444</v>
      </c>
      <c r="M184">
        <v>12</v>
      </c>
      <c r="N184" t="s">
        <v>1855</v>
      </c>
      <c r="O184" t="s">
        <v>1446</v>
      </c>
    </row>
    <row r="185" spans="1:15" x14ac:dyDescent="0.3">
      <c r="A185" t="s">
        <v>847</v>
      </c>
      <c r="B185" t="s">
        <v>1788</v>
      </c>
      <c r="C185" t="s">
        <v>1856</v>
      </c>
      <c r="D185" t="s">
        <v>361</v>
      </c>
      <c r="F185" t="s">
        <v>843</v>
      </c>
      <c r="G185" t="s">
        <v>1660</v>
      </c>
      <c r="H185" t="s">
        <v>1691</v>
      </c>
      <c r="I185" t="s">
        <v>1442</v>
      </c>
      <c r="J185" t="s">
        <v>1443</v>
      </c>
      <c r="K185" t="s">
        <v>1483</v>
      </c>
      <c r="M185">
        <v>64</v>
      </c>
      <c r="N185" t="s">
        <v>1857</v>
      </c>
      <c r="O185" t="s">
        <v>1446</v>
      </c>
    </row>
    <row r="186" spans="1:15" x14ac:dyDescent="0.3">
      <c r="A186" t="s">
        <v>620</v>
      </c>
      <c r="B186" t="s">
        <v>1788</v>
      </c>
      <c r="C186" t="s">
        <v>1858</v>
      </c>
      <c r="D186" t="s">
        <v>613</v>
      </c>
      <c r="F186" t="s">
        <v>615</v>
      </c>
      <c r="G186" t="s">
        <v>1859</v>
      </c>
      <c r="H186" t="s">
        <v>1860</v>
      </c>
      <c r="I186" t="s">
        <v>1442</v>
      </c>
      <c r="J186" t="s">
        <v>1443</v>
      </c>
      <c r="K186" t="s">
        <v>1483</v>
      </c>
      <c r="L186">
        <v>40000</v>
      </c>
      <c r="M186">
        <v>12</v>
      </c>
      <c r="N186" t="s">
        <v>1861</v>
      </c>
      <c r="O186" t="s">
        <v>1446</v>
      </c>
    </row>
    <row r="187" spans="1:15" x14ac:dyDescent="0.3">
      <c r="A187" t="s">
        <v>550</v>
      </c>
      <c r="B187" t="s">
        <v>1788</v>
      </c>
      <c r="C187" t="s">
        <v>548</v>
      </c>
      <c r="D187" t="s">
        <v>443</v>
      </c>
      <c r="F187" t="s">
        <v>545</v>
      </c>
      <c r="G187" t="s">
        <v>1660</v>
      </c>
      <c r="H187" t="s">
        <v>1691</v>
      </c>
      <c r="I187" t="s">
        <v>1442</v>
      </c>
      <c r="J187" t="s">
        <v>1443</v>
      </c>
      <c r="K187" t="s">
        <v>1444</v>
      </c>
      <c r="M187">
        <v>6</v>
      </c>
      <c r="N187" t="s">
        <v>1862</v>
      </c>
      <c r="O187" t="s">
        <v>1446</v>
      </c>
    </row>
    <row r="188" spans="1:15" x14ac:dyDescent="0.3">
      <c r="A188" t="s">
        <v>556</v>
      </c>
      <c r="B188" t="s">
        <v>1788</v>
      </c>
      <c r="C188" t="s">
        <v>554</v>
      </c>
      <c r="D188" t="s">
        <v>490</v>
      </c>
      <c r="F188" t="s">
        <v>552</v>
      </c>
      <c r="G188" t="s">
        <v>1469</v>
      </c>
      <c r="H188" t="s">
        <v>1863</v>
      </c>
      <c r="I188" t="s">
        <v>1442</v>
      </c>
      <c r="J188" t="s">
        <v>1443</v>
      </c>
      <c r="K188" t="s">
        <v>1444</v>
      </c>
      <c r="L188">
        <v>120000</v>
      </c>
      <c r="M188">
        <v>48</v>
      </c>
      <c r="N188" t="s">
        <v>1864</v>
      </c>
      <c r="O188" t="s">
        <v>1446</v>
      </c>
    </row>
    <row r="189" spans="1:15" x14ac:dyDescent="0.3">
      <c r="A189" t="s">
        <v>972</v>
      </c>
      <c r="B189" t="s">
        <v>1788</v>
      </c>
      <c r="C189" t="s">
        <v>1865</v>
      </c>
      <c r="D189" t="s">
        <v>343</v>
      </c>
      <c r="F189" t="s">
        <v>968</v>
      </c>
      <c r="G189" t="s">
        <v>1866</v>
      </c>
      <c r="H189" t="s">
        <v>1867</v>
      </c>
      <c r="I189" t="s">
        <v>1442</v>
      </c>
      <c r="J189" t="s">
        <v>1443</v>
      </c>
      <c r="K189" t="s">
        <v>1444</v>
      </c>
      <c r="N189" t="s">
        <v>1868</v>
      </c>
      <c r="O189" t="s">
        <v>1446</v>
      </c>
    </row>
    <row r="190" spans="1:15" x14ac:dyDescent="0.3">
      <c r="A190" t="s">
        <v>1069</v>
      </c>
      <c r="B190" t="s">
        <v>1788</v>
      </c>
      <c r="C190" t="s">
        <v>1067</v>
      </c>
      <c r="D190" t="s">
        <v>112</v>
      </c>
      <c r="F190" t="s">
        <v>1064</v>
      </c>
      <c r="G190" t="s">
        <v>1550</v>
      </c>
      <c r="H190" t="s">
        <v>1550</v>
      </c>
      <c r="I190" t="s">
        <v>1442</v>
      </c>
      <c r="J190" t="s">
        <v>1443</v>
      </c>
      <c r="K190" t="s">
        <v>1483</v>
      </c>
      <c r="M190">
        <v>48</v>
      </c>
      <c r="N190" t="s">
        <v>1869</v>
      </c>
      <c r="O190" t="s">
        <v>1446</v>
      </c>
    </row>
    <row r="191" spans="1:15" x14ac:dyDescent="0.3">
      <c r="A191" t="s">
        <v>199</v>
      </c>
      <c r="B191" t="s">
        <v>1788</v>
      </c>
      <c r="C191" t="s">
        <v>197</v>
      </c>
      <c r="D191" t="s">
        <v>192</v>
      </c>
      <c r="F191" t="s">
        <v>194</v>
      </c>
      <c r="G191" t="s">
        <v>1870</v>
      </c>
      <c r="H191" t="s">
        <v>1870</v>
      </c>
      <c r="I191" t="s">
        <v>1442</v>
      </c>
      <c r="J191" t="s">
        <v>1448</v>
      </c>
      <c r="K191" t="s">
        <v>1444</v>
      </c>
      <c r="M191">
        <v>48</v>
      </c>
      <c r="N191" t="s">
        <v>1871</v>
      </c>
      <c r="O191" t="s">
        <v>1446</v>
      </c>
    </row>
    <row r="192" spans="1:15" x14ac:dyDescent="0.3">
      <c r="A192" t="s">
        <v>611</v>
      </c>
      <c r="B192" t="s">
        <v>1788</v>
      </c>
      <c r="C192" t="s">
        <v>1872</v>
      </c>
      <c r="D192" t="s">
        <v>261</v>
      </c>
      <c r="F192" t="s">
        <v>606</v>
      </c>
      <c r="G192" t="s">
        <v>1447</v>
      </c>
      <c r="H192" t="s">
        <v>1447</v>
      </c>
      <c r="I192" t="s">
        <v>1442</v>
      </c>
      <c r="J192" t="s">
        <v>1443</v>
      </c>
      <c r="K192" t="s">
        <v>1444</v>
      </c>
      <c r="L192">
        <v>1200000</v>
      </c>
      <c r="M192">
        <v>24</v>
      </c>
      <c r="N192" t="s">
        <v>1873</v>
      </c>
      <c r="O192" t="s">
        <v>1446</v>
      </c>
    </row>
    <row r="193" spans="1:15" x14ac:dyDescent="0.3">
      <c r="A193" t="s">
        <v>251</v>
      </c>
      <c r="B193" t="s">
        <v>1788</v>
      </c>
      <c r="C193" t="s">
        <v>1874</v>
      </c>
      <c r="D193" t="s">
        <v>244</v>
      </c>
      <c r="F193" t="s">
        <v>246</v>
      </c>
      <c r="G193" t="s">
        <v>1875</v>
      </c>
      <c r="H193" t="s">
        <v>1875</v>
      </c>
      <c r="I193" t="s">
        <v>1442</v>
      </c>
      <c r="J193" t="s">
        <v>1548</v>
      </c>
      <c r="K193" t="s">
        <v>1483</v>
      </c>
      <c r="N193" t="s">
        <v>1876</v>
      </c>
      <c r="O193" t="s">
        <v>1446</v>
      </c>
    </row>
    <row r="194" spans="1:15" x14ac:dyDescent="0.3">
      <c r="A194" t="s">
        <v>232</v>
      </c>
      <c r="B194" t="s">
        <v>1788</v>
      </c>
      <c r="C194" t="s">
        <v>230</v>
      </c>
      <c r="D194" t="s">
        <v>128</v>
      </c>
      <c r="F194" t="s">
        <v>227</v>
      </c>
      <c r="G194" t="s">
        <v>1714</v>
      </c>
      <c r="H194" t="s">
        <v>1714</v>
      </c>
      <c r="I194" t="s">
        <v>1442</v>
      </c>
      <c r="J194" t="s">
        <v>1443</v>
      </c>
      <c r="K194" t="s">
        <v>1444</v>
      </c>
      <c r="M194">
        <v>48</v>
      </c>
      <c r="N194" t="s">
        <v>1877</v>
      </c>
      <c r="O194" t="s">
        <v>1446</v>
      </c>
    </row>
    <row r="195" spans="1:15" x14ac:dyDescent="0.3">
      <c r="A195" t="s">
        <v>126</v>
      </c>
      <c r="B195" t="s">
        <v>1788</v>
      </c>
      <c r="C195" t="s">
        <v>124</v>
      </c>
      <c r="D195" t="s">
        <v>32</v>
      </c>
      <c r="F195" t="s">
        <v>121</v>
      </c>
      <c r="G195" t="s">
        <v>1878</v>
      </c>
      <c r="H195" t="s">
        <v>1878</v>
      </c>
      <c r="I195" t="s">
        <v>1442</v>
      </c>
      <c r="J195" t="s">
        <v>1443</v>
      </c>
      <c r="K195" t="s">
        <v>1444</v>
      </c>
      <c r="M195">
        <v>48</v>
      </c>
      <c r="N195" t="s">
        <v>1879</v>
      </c>
      <c r="O195" t="s">
        <v>1446</v>
      </c>
    </row>
    <row r="196" spans="1:15" x14ac:dyDescent="0.3">
      <c r="A196" t="s">
        <v>821</v>
      </c>
      <c r="B196" t="s">
        <v>1788</v>
      </c>
      <c r="C196" t="s">
        <v>819</v>
      </c>
      <c r="D196" t="s">
        <v>814</v>
      </c>
      <c r="F196" t="s">
        <v>816</v>
      </c>
      <c r="G196" t="s">
        <v>1464</v>
      </c>
      <c r="H196" t="s">
        <v>1464</v>
      </c>
      <c r="I196" t="s">
        <v>1442</v>
      </c>
      <c r="J196" t="s">
        <v>1443</v>
      </c>
      <c r="K196" t="s">
        <v>1444</v>
      </c>
      <c r="L196">
        <v>40000</v>
      </c>
      <c r="M196">
        <v>48</v>
      </c>
      <c r="N196" t="s">
        <v>1880</v>
      </c>
      <c r="O196" t="s">
        <v>1446</v>
      </c>
    </row>
    <row r="197" spans="1:15" x14ac:dyDescent="0.3">
      <c r="A197" t="s">
        <v>504</v>
      </c>
      <c r="B197" t="s">
        <v>1788</v>
      </c>
      <c r="C197" t="s">
        <v>502</v>
      </c>
      <c r="D197" t="s">
        <v>128</v>
      </c>
      <c r="F197" t="s">
        <v>500</v>
      </c>
      <c r="G197" t="s">
        <v>1881</v>
      </c>
      <c r="H197" t="s">
        <v>1881</v>
      </c>
      <c r="I197" t="s">
        <v>1442</v>
      </c>
      <c r="J197" t="s">
        <v>1443</v>
      </c>
      <c r="K197" t="s">
        <v>1444</v>
      </c>
      <c r="M197">
        <v>48</v>
      </c>
      <c r="N197" t="s">
        <v>1882</v>
      </c>
      <c r="O197" t="s">
        <v>1446</v>
      </c>
    </row>
    <row r="198" spans="1:15" x14ac:dyDescent="0.3">
      <c r="A198" t="s">
        <v>834</v>
      </c>
      <c r="B198" t="s">
        <v>1788</v>
      </c>
      <c r="C198" t="s">
        <v>286</v>
      </c>
      <c r="D198" t="s">
        <v>527</v>
      </c>
      <c r="F198" t="s">
        <v>830</v>
      </c>
      <c r="G198" t="s">
        <v>1538</v>
      </c>
      <c r="H198" t="s">
        <v>1538</v>
      </c>
      <c r="I198" t="s">
        <v>1442</v>
      </c>
      <c r="J198" t="s">
        <v>1548</v>
      </c>
      <c r="K198" t="s">
        <v>1444</v>
      </c>
      <c r="N198" t="s">
        <v>1883</v>
      </c>
      <c r="O198" t="s">
        <v>1446</v>
      </c>
    </row>
    <row r="199" spans="1:15" x14ac:dyDescent="0.3">
      <c r="A199" t="s">
        <v>1017</v>
      </c>
      <c r="B199" t="s">
        <v>1788</v>
      </c>
      <c r="C199" t="s">
        <v>1884</v>
      </c>
      <c r="D199" t="s">
        <v>343</v>
      </c>
      <c r="F199" t="s">
        <v>1012</v>
      </c>
      <c r="G199" t="s">
        <v>1450</v>
      </c>
      <c r="H199" t="s">
        <v>1885</v>
      </c>
      <c r="I199" t="s">
        <v>1442</v>
      </c>
      <c r="J199" t="s">
        <v>1443</v>
      </c>
      <c r="K199" t="s">
        <v>1444</v>
      </c>
      <c r="M199">
        <v>24</v>
      </c>
      <c r="N199" t="s">
        <v>1886</v>
      </c>
      <c r="O199" t="s">
        <v>1446</v>
      </c>
    </row>
    <row r="200" spans="1:15" x14ac:dyDescent="0.3">
      <c r="A200" t="s">
        <v>392</v>
      </c>
      <c r="B200" t="s">
        <v>1788</v>
      </c>
      <c r="C200" t="s">
        <v>602</v>
      </c>
      <c r="D200" t="s">
        <v>385</v>
      </c>
      <c r="F200" t="s">
        <v>387</v>
      </c>
      <c r="G200" t="s">
        <v>1887</v>
      </c>
      <c r="H200" t="s">
        <v>1888</v>
      </c>
      <c r="I200" t="s">
        <v>1442</v>
      </c>
      <c r="J200" t="s">
        <v>1443</v>
      </c>
      <c r="K200" t="s">
        <v>1483</v>
      </c>
      <c r="L200">
        <v>850000</v>
      </c>
      <c r="M200">
        <v>36</v>
      </c>
      <c r="N200" t="s">
        <v>1889</v>
      </c>
      <c r="O200" t="s">
        <v>1446</v>
      </c>
    </row>
    <row r="201" spans="1:15" x14ac:dyDescent="0.3">
      <c r="A201" t="s">
        <v>777</v>
      </c>
      <c r="B201" t="s">
        <v>1788</v>
      </c>
      <c r="C201" t="s">
        <v>1846</v>
      </c>
      <c r="D201" t="s">
        <v>32</v>
      </c>
      <c r="F201" t="s">
        <v>772</v>
      </c>
      <c r="G201" t="s">
        <v>1769</v>
      </c>
      <c r="H201" t="s">
        <v>1769</v>
      </c>
      <c r="I201" t="s">
        <v>1442</v>
      </c>
      <c r="J201" t="s">
        <v>1443</v>
      </c>
      <c r="K201" t="s">
        <v>1483</v>
      </c>
      <c r="M201">
        <v>12</v>
      </c>
      <c r="N201" t="s">
        <v>1890</v>
      </c>
      <c r="O201" t="s">
        <v>1446</v>
      </c>
    </row>
    <row r="202" spans="1:15" x14ac:dyDescent="0.3">
      <c r="A202" t="s">
        <v>580</v>
      </c>
      <c r="B202" t="s">
        <v>1788</v>
      </c>
      <c r="C202" t="s">
        <v>578</v>
      </c>
      <c r="D202" t="s">
        <v>573</v>
      </c>
      <c r="F202" t="s">
        <v>575</v>
      </c>
      <c r="G202" t="s">
        <v>1550</v>
      </c>
      <c r="H202" t="s">
        <v>1550</v>
      </c>
      <c r="I202" t="s">
        <v>1442</v>
      </c>
      <c r="J202" t="s">
        <v>1448</v>
      </c>
      <c r="K202" t="s">
        <v>1483</v>
      </c>
      <c r="N202" t="s">
        <v>1891</v>
      </c>
      <c r="O202" t="s">
        <v>1446</v>
      </c>
    </row>
    <row r="203" spans="1:15" x14ac:dyDescent="0.3">
      <c r="A203" t="s">
        <v>118</v>
      </c>
      <c r="B203" t="s">
        <v>1788</v>
      </c>
      <c r="C203" t="s">
        <v>116</v>
      </c>
      <c r="D203" t="s">
        <v>112</v>
      </c>
      <c r="F203" t="s">
        <v>113</v>
      </c>
      <c r="G203" t="s">
        <v>1450</v>
      </c>
      <c r="H203" t="s">
        <v>1450</v>
      </c>
      <c r="I203" t="s">
        <v>1442</v>
      </c>
      <c r="J203" t="s">
        <v>1443</v>
      </c>
      <c r="K203" t="s">
        <v>1444</v>
      </c>
      <c r="M203">
        <v>36</v>
      </c>
      <c r="N203" t="s">
        <v>1892</v>
      </c>
      <c r="O203" t="s">
        <v>1446</v>
      </c>
    </row>
    <row r="204" spans="1:15" x14ac:dyDescent="0.3">
      <c r="A204" t="s">
        <v>804</v>
      </c>
      <c r="B204" t="s">
        <v>1788</v>
      </c>
      <c r="C204" t="s">
        <v>802</v>
      </c>
      <c r="D204" t="s">
        <v>797</v>
      </c>
      <c r="F204" t="s">
        <v>799</v>
      </c>
      <c r="G204" t="s">
        <v>1893</v>
      </c>
      <c r="H204" t="s">
        <v>1893</v>
      </c>
      <c r="I204" t="s">
        <v>1442</v>
      </c>
      <c r="J204" t="s">
        <v>1448</v>
      </c>
      <c r="K204" t="s">
        <v>1483</v>
      </c>
      <c r="N204" t="s">
        <v>1894</v>
      </c>
      <c r="O204" t="s">
        <v>1446</v>
      </c>
    </row>
    <row r="205" spans="1:15" x14ac:dyDescent="0.3">
      <c r="A205" t="s">
        <v>994</v>
      </c>
      <c r="B205" t="s">
        <v>1788</v>
      </c>
      <c r="C205" t="s">
        <v>992</v>
      </c>
      <c r="D205" t="s">
        <v>987</v>
      </c>
      <c r="F205" t="s">
        <v>989</v>
      </c>
      <c r="G205" t="s">
        <v>1727</v>
      </c>
      <c r="H205" t="s">
        <v>1727</v>
      </c>
      <c r="I205" t="s">
        <v>1442</v>
      </c>
      <c r="J205" t="s">
        <v>1448</v>
      </c>
      <c r="K205" t="s">
        <v>1444</v>
      </c>
      <c r="L205">
        <v>138500</v>
      </c>
      <c r="M205">
        <v>5</v>
      </c>
      <c r="N205" t="s">
        <v>1895</v>
      </c>
      <c r="O205" t="s">
        <v>1446</v>
      </c>
    </row>
    <row r="206" spans="1:15" x14ac:dyDescent="0.3">
      <c r="A206" t="s">
        <v>638</v>
      </c>
      <c r="B206" t="s">
        <v>1788</v>
      </c>
      <c r="C206" t="s">
        <v>636</v>
      </c>
      <c r="D206" t="s">
        <v>631</v>
      </c>
      <c r="F206" t="s">
        <v>633</v>
      </c>
      <c r="G206" t="s">
        <v>1473</v>
      </c>
      <c r="H206" t="s">
        <v>1806</v>
      </c>
      <c r="I206" t="s">
        <v>1442</v>
      </c>
      <c r="J206" t="s">
        <v>1443</v>
      </c>
      <c r="K206" t="s">
        <v>1444</v>
      </c>
      <c r="M206">
        <v>12</v>
      </c>
      <c r="N206" t="s">
        <v>1896</v>
      </c>
      <c r="O206" t="s">
        <v>1446</v>
      </c>
    </row>
    <row r="207" spans="1:15" x14ac:dyDescent="0.3">
      <c r="A207" t="s">
        <v>299</v>
      </c>
      <c r="B207" t="s">
        <v>1788</v>
      </c>
      <c r="C207" t="s">
        <v>297</v>
      </c>
      <c r="D207" t="s">
        <v>292</v>
      </c>
      <c r="F207" t="s">
        <v>294</v>
      </c>
      <c r="G207" t="s">
        <v>1440</v>
      </c>
      <c r="H207" t="s">
        <v>1897</v>
      </c>
      <c r="I207" t="s">
        <v>1442</v>
      </c>
      <c r="J207" t="s">
        <v>1448</v>
      </c>
      <c r="K207" t="s">
        <v>1483</v>
      </c>
      <c r="L207">
        <v>100000</v>
      </c>
      <c r="M207">
        <v>48</v>
      </c>
      <c r="N207" t="s">
        <v>1898</v>
      </c>
      <c r="O207" t="s">
        <v>1446</v>
      </c>
    </row>
    <row r="208" spans="1:15" x14ac:dyDescent="0.3">
      <c r="A208" t="s">
        <v>889</v>
      </c>
      <c r="B208" t="s">
        <v>1788</v>
      </c>
      <c r="C208" t="s">
        <v>1899</v>
      </c>
      <c r="D208" t="s">
        <v>32</v>
      </c>
      <c r="F208" t="s">
        <v>884</v>
      </c>
      <c r="G208" t="s">
        <v>1464</v>
      </c>
      <c r="H208" t="s">
        <v>1464</v>
      </c>
      <c r="I208" t="s">
        <v>1442</v>
      </c>
      <c r="J208" t="s">
        <v>1443</v>
      </c>
      <c r="K208" t="s">
        <v>1444</v>
      </c>
      <c r="M208">
        <v>24</v>
      </c>
      <c r="N208" t="s">
        <v>1900</v>
      </c>
      <c r="O208" t="s">
        <v>1446</v>
      </c>
    </row>
    <row r="209" spans="1:15" x14ac:dyDescent="0.3">
      <c r="A209" t="s">
        <v>901</v>
      </c>
      <c r="B209" t="s">
        <v>1788</v>
      </c>
      <c r="C209" t="s">
        <v>1901</v>
      </c>
      <c r="D209" t="s">
        <v>762</v>
      </c>
      <c r="F209" t="s">
        <v>897</v>
      </c>
      <c r="G209" t="s">
        <v>1452</v>
      </c>
      <c r="H209" t="s">
        <v>1452</v>
      </c>
      <c r="I209" t="s">
        <v>1442</v>
      </c>
      <c r="J209" t="s">
        <v>1443</v>
      </c>
      <c r="K209" t="s">
        <v>1483</v>
      </c>
      <c r="M209">
        <v>48</v>
      </c>
      <c r="N209" t="s">
        <v>1902</v>
      </c>
      <c r="O209" t="s">
        <v>1446</v>
      </c>
    </row>
    <row r="210" spans="1:15" x14ac:dyDescent="0.3">
      <c r="A210" t="s">
        <v>769</v>
      </c>
      <c r="B210" t="s">
        <v>1788</v>
      </c>
      <c r="C210" t="s">
        <v>1903</v>
      </c>
      <c r="D210" t="s">
        <v>762</v>
      </c>
      <c r="F210" t="s">
        <v>764</v>
      </c>
      <c r="G210" t="s">
        <v>1664</v>
      </c>
      <c r="H210" t="s">
        <v>1664</v>
      </c>
      <c r="I210" t="s">
        <v>1442</v>
      </c>
      <c r="J210" t="s">
        <v>1443</v>
      </c>
      <c r="K210" t="s">
        <v>1483</v>
      </c>
      <c r="L210">
        <v>600000</v>
      </c>
      <c r="M210">
        <v>12</v>
      </c>
      <c r="N210" t="s">
        <v>1904</v>
      </c>
      <c r="O210" t="s">
        <v>1446</v>
      </c>
    </row>
    <row r="211" spans="1:15" x14ac:dyDescent="0.3">
      <c r="A211" t="s">
        <v>791</v>
      </c>
      <c r="B211" t="s">
        <v>1788</v>
      </c>
      <c r="C211" t="s">
        <v>789</v>
      </c>
      <c r="D211" t="s">
        <v>128</v>
      </c>
      <c r="F211" t="s">
        <v>787</v>
      </c>
      <c r="G211" t="s">
        <v>1452</v>
      </c>
      <c r="H211" t="s">
        <v>1452</v>
      </c>
      <c r="I211" t="s">
        <v>1442</v>
      </c>
      <c r="J211" t="s">
        <v>1443</v>
      </c>
      <c r="K211" t="s">
        <v>1483</v>
      </c>
      <c r="M211">
        <v>56</v>
      </c>
      <c r="N211" t="s">
        <v>1905</v>
      </c>
      <c r="O211" t="s">
        <v>1446</v>
      </c>
    </row>
    <row r="212" spans="1:15" x14ac:dyDescent="0.3">
      <c r="A212" t="s">
        <v>349</v>
      </c>
      <c r="B212" t="s">
        <v>1788</v>
      </c>
      <c r="C212" t="s">
        <v>214</v>
      </c>
      <c r="D212" t="s">
        <v>343</v>
      </c>
      <c r="F212" t="s">
        <v>345</v>
      </c>
      <c r="G212" t="s">
        <v>1727</v>
      </c>
      <c r="H212" t="s">
        <v>1906</v>
      </c>
      <c r="I212" t="s">
        <v>1442</v>
      </c>
      <c r="J212" t="s">
        <v>1443</v>
      </c>
      <c r="K212" t="s">
        <v>1444</v>
      </c>
      <c r="M212">
        <v>12</v>
      </c>
      <c r="N212" t="s">
        <v>1907</v>
      </c>
      <c r="O212" t="s">
        <v>1446</v>
      </c>
    </row>
    <row r="213" spans="1:15" x14ac:dyDescent="0.3">
      <c r="A213" t="s">
        <v>177</v>
      </c>
      <c r="B213" t="s">
        <v>1788</v>
      </c>
      <c r="C213" t="s">
        <v>1908</v>
      </c>
      <c r="D213" t="s">
        <v>170</v>
      </c>
      <c r="F213" t="s">
        <v>172</v>
      </c>
      <c r="G213" t="s">
        <v>1909</v>
      </c>
      <c r="H213" t="s">
        <v>1910</v>
      </c>
      <c r="I213" t="s">
        <v>1442</v>
      </c>
      <c r="J213" t="s">
        <v>1443</v>
      </c>
      <c r="K213" t="s">
        <v>1483</v>
      </c>
      <c r="M213">
        <v>48</v>
      </c>
      <c r="N213" t="s">
        <v>1911</v>
      </c>
      <c r="O213" t="s">
        <v>1446</v>
      </c>
    </row>
    <row r="214" spans="1:15" x14ac:dyDescent="0.3">
      <c r="A214" t="s">
        <v>643</v>
      </c>
      <c r="B214" t="s">
        <v>1788</v>
      </c>
      <c r="C214" t="s">
        <v>1912</v>
      </c>
      <c r="D214" t="s">
        <v>473</v>
      </c>
      <c r="F214" t="s">
        <v>640</v>
      </c>
      <c r="G214" t="s">
        <v>1913</v>
      </c>
      <c r="H214" t="s">
        <v>1914</v>
      </c>
      <c r="I214" t="s">
        <v>1442</v>
      </c>
      <c r="J214" t="s">
        <v>1443</v>
      </c>
      <c r="K214" t="s">
        <v>1444</v>
      </c>
      <c r="L214">
        <v>139000</v>
      </c>
      <c r="M214">
        <v>12</v>
      </c>
      <c r="N214" t="s">
        <v>1915</v>
      </c>
      <c r="O214" t="s">
        <v>1446</v>
      </c>
    </row>
    <row r="215" spans="1:15" x14ac:dyDescent="0.3">
      <c r="A215" t="s">
        <v>1025</v>
      </c>
      <c r="B215" t="s">
        <v>1788</v>
      </c>
      <c r="C215" t="s">
        <v>1023</v>
      </c>
      <c r="D215" t="s">
        <v>1019</v>
      </c>
      <c r="F215" t="s">
        <v>1021</v>
      </c>
      <c r="G215" t="s">
        <v>1916</v>
      </c>
      <c r="H215" t="s">
        <v>1916</v>
      </c>
      <c r="I215" t="s">
        <v>1442</v>
      </c>
      <c r="J215" t="s">
        <v>1448</v>
      </c>
      <c r="K215" t="s">
        <v>1483</v>
      </c>
      <c r="M215">
        <v>24</v>
      </c>
      <c r="N215" t="s">
        <v>1917</v>
      </c>
      <c r="O215" t="s">
        <v>1446</v>
      </c>
    </row>
    <row r="216" spans="1:15" x14ac:dyDescent="0.3">
      <c r="A216" t="s">
        <v>217</v>
      </c>
      <c r="B216" t="s">
        <v>1788</v>
      </c>
      <c r="C216" t="s">
        <v>215</v>
      </c>
      <c r="D216" t="s">
        <v>210</v>
      </c>
      <c r="F216" t="s">
        <v>212</v>
      </c>
      <c r="G216" t="s">
        <v>1918</v>
      </c>
      <c r="H216" t="s">
        <v>1919</v>
      </c>
      <c r="I216" t="s">
        <v>1442</v>
      </c>
      <c r="J216" t="s">
        <v>1443</v>
      </c>
      <c r="K216" t="s">
        <v>1483</v>
      </c>
      <c r="M216">
        <v>48</v>
      </c>
      <c r="N216" t="s">
        <v>1920</v>
      </c>
      <c r="O216" t="s">
        <v>1446</v>
      </c>
    </row>
    <row r="217" spans="1:15" x14ac:dyDescent="0.3">
      <c r="A217" t="s">
        <v>143</v>
      </c>
      <c r="B217" t="s">
        <v>1788</v>
      </c>
      <c r="C217" t="s">
        <v>141</v>
      </c>
      <c r="D217" t="s">
        <v>41</v>
      </c>
      <c r="F217" t="s">
        <v>138</v>
      </c>
      <c r="G217" t="s">
        <v>1450</v>
      </c>
      <c r="H217" t="s">
        <v>1450</v>
      </c>
      <c r="I217" t="s">
        <v>1442</v>
      </c>
      <c r="J217" t="s">
        <v>1443</v>
      </c>
      <c r="K217" t="s">
        <v>1483</v>
      </c>
      <c r="M217">
        <v>12</v>
      </c>
      <c r="N217" t="s">
        <v>1921</v>
      </c>
      <c r="O217" t="s">
        <v>1446</v>
      </c>
    </row>
    <row r="218" spans="1:15" x14ac:dyDescent="0.3">
      <c r="A218" t="s">
        <v>377</v>
      </c>
      <c r="B218" t="s">
        <v>1788</v>
      </c>
      <c r="C218" t="s">
        <v>1922</v>
      </c>
      <c r="D218" t="s">
        <v>370</v>
      </c>
      <c r="F218" t="s">
        <v>372</v>
      </c>
      <c r="G218" t="s">
        <v>1610</v>
      </c>
      <c r="H218" t="s">
        <v>1610</v>
      </c>
      <c r="I218" t="s">
        <v>1442</v>
      </c>
      <c r="J218" t="s">
        <v>1548</v>
      </c>
      <c r="K218" t="s">
        <v>1444</v>
      </c>
      <c r="M218">
        <v>36</v>
      </c>
      <c r="N218" t="s">
        <v>1923</v>
      </c>
      <c r="O218" t="s">
        <v>1446</v>
      </c>
    </row>
    <row r="219" spans="1:15" x14ac:dyDescent="0.3">
      <c r="A219" t="s">
        <v>873</v>
      </c>
      <c r="B219" t="s">
        <v>1788</v>
      </c>
      <c r="C219" t="s">
        <v>871</v>
      </c>
      <c r="D219" t="s">
        <v>361</v>
      </c>
      <c r="F219" t="s">
        <v>868</v>
      </c>
      <c r="G219" t="s">
        <v>1452</v>
      </c>
      <c r="H219" t="s">
        <v>1562</v>
      </c>
      <c r="I219" t="s">
        <v>1442</v>
      </c>
      <c r="J219" t="s">
        <v>1443</v>
      </c>
      <c r="K219" t="s">
        <v>1483</v>
      </c>
      <c r="M219">
        <v>48</v>
      </c>
      <c r="N219" t="s">
        <v>1924</v>
      </c>
      <c r="O219" t="s">
        <v>1446</v>
      </c>
    </row>
    <row r="220" spans="1:15" x14ac:dyDescent="0.3">
      <c r="A220" t="s">
        <v>651</v>
      </c>
      <c r="B220" t="s">
        <v>1788</v>
      </c>
      <c r="C220" t="s">
        <v>649</v>
      </c>
      <c r="D220" t="s">
        <v>170</v>
      </c>
      <c r="F220" t="s">
        <v>646</v>
      </c>
      <c r="G220" t="s">
        <v>1925</v>
      </c>
      <c r="H220" t="s">
        <v>1925</v>
      </c>
      <c r="I220" t="s">
        <v>1442</v>
      </c>
      <c r="J220" t="s">
        <v>1443</v>
      </c>
      <c r="K220" t="s">
        <v>1444</v>
      </c>
      <c r="M220">
        <v>48</v>
      </c>
      <c r="N220" t="s">
        <v>1926</v>
      </c>
      <c r="O220" t="s">
        <v>1446</v>
      </c>
    </row>
    <row r="221" spans="1:15" x14ac:dyDescent="0.3">
      <c r="A221" t="s">
        <v>1078</v>
      </c>
      <c r="B221" t="s">
        <v>1788</v>
      </c>
      <c r="C221" t="s">
        <v>1076</v>
      </c>
      <c r="D221" t="s">
        <v>1071</v>
      </c>
      <c r="F221" t="s">
        <v>1073</v>
      </c>
      <c r="G221" t="s">
        <v>1927</v>
      </c>
      <c r="H221" t="s">
        <v>1927</v>
      </c>
      <c r="I221" t="s">
        <v>1442</v>
      </c>
      <c r="J221" t="s">
        <v>1443</v>
      </c>
      <c r="K221" t="s">
        <v>1483</v>
      </c>
      <c r="M221">
        <v>48</v>
      </c>
      <c r="N221" t="s">
        <v>1928</v>
      </c>
      <c r="O221" t="s">
        <v>1446</v>
      </c>
    </row>
    <row r="222" spans="1:15" x14ac:dyDescent="0.3">
      <c r="A222" t="s">
        <v>316</v>
      </c>
      <c r="B222" t="s">
        <v>1788</v>
      </c>
      <c r="C222" t="s">
        <v>1929</v>
      </c>
      <c r="D222" t="s">
        <v>284</v>
      </c>
      <c r="F222" t="s">
        <v>311</v>
      </c>
      <c r="G222" t="s">
        <v>1769</v>
      </c>
      <c r="H222" t="s">
        <v>1930</v>
      </c>
      <c r="I222" t="s">
        <v>1442</v>
      </c>
      <c r="J222" t="s">
        <v>1548</v>
      </c>
      <c r="K222" t="s">
        <v>1483</v>
      </c>
      <c r="L222">
        <v>1040000</v>
      </c>
      <c r="M222">
        <v>24</v>
      </c>
      <c r="N222" t="s">
        <v>1931</v>
      </c>
      <c r="O222" t="s">
        <v>1446</v>
      </c>
    </row>
    <row r="223" spans="1:15" x14ac:dyDescent="0.3">
      <c r="A223" t="s">
        <v>135</v>
      </c>
      <c r="B223" t="s">
        <v>1788</v>
      </c>
      <c r="C223" t="s">
        <v>133</v>
      </c>
      <c r="D223" t="s">
        <v>128</v>
      </c>
      <c r="F223" t="s">
        <v>130</v>
      </c>
      <c r="G223" t="s">
        <v>1504</v>
      </c>
      <c r="H223" t="s">
        <v>1504</v>
      </c>
      <c r="I223" t="s">
        <v>1442</v>
      </c>
      <c r="J223" t="s">
        <v>1443</v>
      </c>
      <c r="K223" t="s">
        <v>1444</v>
      </c>
      <c r="M223">
        <v>8</v>
      </c>
      <c r="N223" t="s">
        <v>1932</v>
      </c>
      <c r="O223" t="s">
        <v>1446</v>
      </c>
    </row>
    <row r="224" spans="1:15" x14ac:dyDescent="0.3">
      <c r="A224" t="s">
        <v>690</v>
      </c>
      <c r="B224" t="s">
        <v>1788</v>
      </c>
      <c r="C224" t="s">
        <v>1933</v>
      </c>
      <c r="D224" t="s">
        <v>631</v>
      </c>
      <c r="F224" t="s">
        <v>686</v>
      </c>
      <c r="G224" t="s">
        <v>1473</v>
      </c>
      <c r="H224" t="s">
        <v>1934</v>
      </c>
      <c r="I224" t="s">
        <v>1442</v>
      </c>
      <c r="J224" t="s">
        <v>1443</v>
      </c>
      <c r="K224" t="s">
        <v>1444</v>
      </c>
      <c r="M224">
        <v>12</v>
      </c>
      <c r="N224" t="s">
        <v>1935</v>
      </c>
      <c r="O224" t="s">
        <v>1446</v>
      </c>
    </row>
    <row r="225" spans="1:15" x14ac:dyDescent="0.3">
      <c r="A225" t="s">
        <v>415</v>
      </c>
      <c r="B225" t="s">
        <v>1788</v>
      </c>
      <c r="C225" t="s">
        <v>1936</v>
      </c>
      <c r="D225" t="s">
        <v>32</v>
      </c>
      <c r="F225" t="s">
        <v>410</v>
      </c>
      <c r="G225" t="s">
        <v>1510</v>
      </c>
      <c r="H225" t="s">
        <v>1510</v>
      </c>
      <c r="I225" t="s">
        <v>1442</v>
      </c>
      <c r="J225" t="s">
        <v>1443</v>
      </c>
      <c r="K225" t="s">
        <v>1444</v>
      </c>
      <c r="M225">
        <v>48</v>
      </c>
      <c r="N225" t="s">
        <v>1937</v>
      </c>
      <c r="O225" t="s">
        <v>1446</v>
      </c>
    </row>
    <row r="226" spans="1:15" x14ac:dyDescent="0.3">
      <c r="A226" t="s">
        <v>1032</v>
      </c>
      <c r="B226" t="s">
        <v>1788</v>
      </c>
      <c r="C226" t="s">
        <v>1938</v>
      </c>
      <c r="D226" t="s">
        <v>1027</v>
      </c>
      <c r="F226" t="s">
        <v>1029</v>
      </c>
      <c r="G226" t="s">
        <v>1450</v>
      </c>
      <c r="H226" t="s">
        <v>1885</v>
      </c>
      <c r="I226" t="s">
        <v>1442</v>
      </c>
      <c r="J226" t="s">
        <v>1443</v>
      </c>
      <c r="K226" t="s">
        <v>1444</v>
      </c>
      <c r="M226">
        <v>48</v>
      </c>
      <c r="N226" t="s">
        <v>1939</v>
      </c>
      <c r="O226" t="s">
        <v>1446</v>
      </c>
    </row>
    <row r="227" spans="1:15" x14ac:dyDescent="0.3">
      <c r="A227" t="s">
        <v>985</v>
      </c>
      <c r="B227" t="s">
        <v>1788</v>
      </c>
      <c r="C227" t="s">
        <v>366</v>
      </c>
      <c r="D227" t="s">
        <v>32</v>
      </c>
      <c r="F227" t="s">
        <v>981</v>
      </c>
      <c r="G227" t="s">
        <v>1940</v>
      </c>
      <c r="H227" t="s">
        <v>1940</v>
      </c>
      <c r="I227" t="s">
        <v>1442</v>
      </c>
      <c r="J227" t="s">
        <v>1443</v>
      </c>
      <c r="K227" t="s">
        <v>1444</v>
      </c>
      <c r="M227">
        <v>24</v>
      </c>
      <c r="N227" t="s">
        <v>1941</v>
      </c>
      <c r="O227" t="s">
        <v>1446</v>
      </c>
    </row>
    <row r="228" spans="1:15" x14ac:dyDescent="0.3">
      <c r="A228" t="s">
        <v>711</v>
      </c>
      <c r="B228" t="s">
        <v>1788</v>
      </c>
      <c r="C228" t="s">
        <v>709</v>
      </c>
      <c r="D228" t="s">
        <v>704</v>
      </c>
      <c r="F228" t="s">
        <v>706</v>
      </c>
      <c r="G228" t="s">
        <v>1607</v>
      </c>
      <c r="H228" t="s">
        <v>1607</v>
      </c>
      <c r="I228" t="s">
        <v>1442</v>
      </c>
      <c r="J228" t="s">
        <v>1443</v>
      </c>
      <c r="K228" t="s">
        <v>1483</v>
      </c>
      <c r="M228">
        <v>24</v>
      </c>
      <c r="N228" t="s">
        <v>1942</v>
      </c>
      <c r="O228" t="s">
        <v>1446</v>
      </c>
    </row>
    <row r="229" spans="1:15" x14ac:dyDescent="0.3">
      <c r="A229" t="s">
        <v>760</v>
      </c>
      <c r="B229" t="s">
        <v>1788</v>
      </c>
      <c r="C229" t="s">
        <v>758</v>
      </c>
      <c r="D229" t="s">
        <v>244</v>
      </c>
      <c r="F229" t="s">
        <v>755</v>
      </c>
      <c r="G229" t="s">
        <v>1943</v>
      </c>
      <c r="H229" t="s">
        <v>1943</v>
      </c>
      <c r="I229" t="s">
        <v>1442</v>
      </c>
      <c r="J229" t="s">
        <v>1443</v>
      </c>
      <c r="K229" t="s">
        <v>1483</v>
      </c>
      <c r="N229" t="s">
        <v>1944</v>
      </c>
      <c r="O229" t="s">
        <v>1446</v>
      </c>
    </row>
    <row r="230" spans="1:15" x14ac:dyDescent="0.3">
      <c r="A230" t="s">
        <v>332</v>
      </c>
      <c r="B230" t="s">
        <v>1788</v>
      </c>
      <c r="C230" t="s">
        <v>1945</v>
      </c>
      <c r="D230" t="s">
        <v>201</v>
      </c>
      <c r="F230" t="s">
        <v>327</v>
      </c>
      <c r="G230" t="s">
        <v>1946</v>
      </c>
      <c r="H230" t="s">
        <v>1946</v>
      </c>
      <c r="I230" t="s">
        <v>1442</v>
      </c>
      <c r="J230" t="s">
        <v>1443</v>
      </c>
      <c r="K230" t="s">
        <v>1483</v>
      </c>
      <c r="L230">
        <v>70000</v>
      </c>
      <c r="M230">
        <v>12</v>
      </c>
      <c r="N230" t="s">
        <v>1947</v>
      </c>
      <c r="O230" t="s">
        <v>1446</v>
      </c>
    </row>
    <row r="231" spans="1:15" x14ac:dyDescent="0.3">
      <c r="A231" t="s">
        <v>1001</v>
      </c>
      <c r="B231" t="s">
        <v>1788</v>
      </c>
      <c r="C231" t="s">
        <v>999</v>
      </c>
      <c r="D231" t="s">
        <v>63</v>
      </c>
      <c r="F231" t="s">
        <v>997</v>
      </c>
      <c r="G231" t="s">
        <v>1742</v>
      </c>
      <c r="H231" t="s">
        <v>1742</v>
      </c>
      <c r="I231" t="s">
        <v>1442</v>
      </c>
      <c r="J231" t="s">
        <v>1443</v>
      </c>
      <c r="K231" t="s">
        <v>1444</v>
      </c>
      <c r="M231">
        <v>6</v>
      </c>
      <c r="N231" t="s">
        <v>1948</v>
      </c>
      <c r="O231" t="s">
        <v>1446</v>
      </c>
    </row>
    <row r="232" spans="1:15" x14ac:dyDescent="0.3">
      <c r="A232" t="s">
        <v>462</v>
      </c>
      <c r="B232" t="s">
        <v>1788</v>
      </c>
      <c r="C232" t="s">
        <v>460</v>
      </c>
      <c r="D232" t="s">
        <v>128</v>
      </c>
      <c r="F232" t="s">
        <v>457</v>
      </c>
      <c r="G232" t="s">
        <v>1629</v>
      </c>
      <c r="H232" t="s">
        <v>1629</v>
      </c>
      <c r="I232" t="s">
        <v>1442</v>
      </c>
      <c r="J232" t="s">
        <v>1443</v>
      </c>
      <c r="K232" t="s">
        <v>1444</v>
      </c>
      <c r="M232">
        <v>48</v>
      </c>
      <c r="N232" t="s">
        <v>1949</v>
      </c>
      <c r="O232" t="s">
        <v>1446</v>
      </c>
    </row>
    <row r="233" spans="1:15" x14ac:dyDescent="0.3">
      <c r="A233" t="s">
        <v>368</v>
      </c>
      <c r="B233" t="s">
        <v>1788</v>
      </c>
      <c r="C233" t="s">
        <v>1950</v>
      </c>
      <c r="D233" t="s">
        <v>361</v>
      </c>
      <c r="F233" t="s">
        <v>363</v>
      </c>
      <c r="G233" t="s">
        <v>1529</v>
      </c>
      <c r="H233" t="s">
        <v>1529</v>
      </c>
      <c r="I233" t="s">
        <v>1442</v>
      </c>
      <c r="J233" t="s">
        <v>1443</v>
      </c>
      <c r="K233" t="s">
        <v>1444</v>
      </c>
      <c r="M233">
        <v>24</v>
      </c>
      <c r="N233" t="s">
        <v>1951</v>
      </c>
      <c r="O233" t="s">
        <v>1446</v>
      </c>
    </row>
    <row r="234" spans="1:15" x14ac:dyDescent="0.3">
      <c r="A234" t="s">
        <v>946</v>
      </c>
      <c r="B234" t="s">
        <v>1788</v>
      </c>
      <c r="C234" t="s">
        <v>758</v>
      </c>
      <c r="D234" t="s">
        <v>903</v>
      </c>
      <c r="F234" t="s">
        <v>943</v>
      </c>
      <c r="G234" t="s">
        <v>1727</v>
      </c>
      <c r="H234" t="s">
        <v>1727</v>
      </c>
      <c r="I234" t="s">
        <v>1442</v>
      </c>
      <c r="J234" t="s">
        <v>1443</v>
      </c>
      <c r="K234" t="s">
        <v>1444</v>
      </c>
      <c r="M234">
        <v>48</v>
      </c>
      <c r="N234" t="s">
        <v>1952</v>
      </c>
      <c r="O234" t="s">
        <v>1446</v>
      </c>
    </row>
    <row r="235" spans="1:15" x14ac:dyDescent="0.3">
      <c r="A235" t="s">
        <v>865</v>
      </c>
      <c r="B235" t="s">
        <v>1788</v>
      </c>
      <c r="C235" t="s">
        <v>863</v>
      </c>
      <c r="D235" t="s">
        <v>858</v>
      </c>
      <c r="F235" t="s">
        <v>860</v>
      </c>
      <c r="G235" t="s">
        <v>1953</v>
      </c>
      <c r="H235" t="s">
        <v>1954</v>
      </c>
      <c r="I235" t="s">
        <v>1442</v>
      </c>
      <c r="J235" t="s">
        <v>1443</v>
      </c>
      <c r="K235" t="s">
        <v>1622</v>
      </c>
      <c r="M235">
        <v>16</v>
      </c>
      <c r="N235" t="s">
        <v>1955</v>
      </c>
      <c r="O235" t="s">
        <v>1446</v>
      </c>
    </row>
    <row r="236" spans="1:15" x14ac:dyDescent="0.3">
      <c r="A236" t="s">
        <v>585</v>
      </c>
      <c r="B236" t="s">
        <v>1788</v>
      </c>
      <c r="C236" t="s">
        <v>584</v>
      </c>
      <c r="D236" t="s">
        <v>301</v>
      </c>
      <c r="F236" t="s">
        <v>582</v>
      </c>
      <c r="G236" t="s">
        <v>1927</v>
      </c>
      <c r="H236" t="s">
        <v>1956</v>
      </c>
      <c r="I236" t="s">
        <v>1442</v>
      </c>
      <c r="J236" t="s">
        <v>1443</v>
      </c>
      <c r="K236" t="s">
        <v>1483</v>
      </c>
      <c r="M236">
        <v>24</v>
      </c>
      <c r="N236" t="s">
        <v>1957</v>
      </c>
      <c r="O236" t="s">
        <v>1446</v>
      </c>
    </row>
    <row r="237" spans="1:15" x14ac:dyDescent="0.3">
      <c r="A237" t="s">
        <v>110</v>
      </c>
      <c r="B237" t="s">
        <v>1788</v>
      </c>
      <c r="C237" t="s">
        <v>108</v>
      </c>
      <c r="D237" t="s">
        <v>103</v>
      </c>
      <c r="F237" t="s">
        <v>105</v>
      </c>
      <c r="G237" t="s">
        <v>1727</v>
      </c>
      <c r="H237" t="s">
        <v>1727</v>
      </c>
      <c r="I237" t="s">
        <v>1442</v>
      </c>
      <c r="J237" t="s">
        <v>1443</v>
      </c>
      <c r="K237" t="s">
        <v>1444</v>
      </c>
      <c r="M237">
        <v>24</v>
      </c>
      <c r="N237" t="s">
        <v>1958</v>
      </c>
      <c r="O237" t="s">
        <v>1446</v>
      </c>
    </row>
    <row r="238" spans="1:15" x14ac:dyDescent="0.3">
      <c r="A238" t="s">
        <v>471</v>
      </c>
      <c r="B238" t="s">
        <v>1788</v>
      </c>
      <c r="C238" t="s">
        <v>469</v>
      </c>
      <c r="D238" t="s">
        <v>464</v>
      </c>
      <c r="F238" t="s">
        <v>466</v>
      </c>
      <c r="G238" t="s">
        <v>1959</v>
      </c>
      <c r="H238" t="s">
        <v>1959</v>
      </c>
      <c r="I238" t="s">
        <v>1442</v>
      </c>
      <c r="J238" t="s">
        <v>1443</v>
      </c>
      <c r="K238" t="s">
        <v>1444</v>
      </c>
      <c r="M238">
        <v>48</v>
      </c>
      <c r="N238" t="s">
        <v>1960</v>
      </c>
      <c r="O238" t="s">
        <v>1446</v>
      </c>
    </row>
    <row r="239" spans="1:15" x14ac:dyDescent="0.3">
      <c r="A239" t="s">
        <v>524</v>
      </c>
      <c r="B239" t="s">
        <v>1961</v>
      </c>
      <c r="C239" t="s">
        <v>525</v>
      </c>
      <c r="D239" t="s">
        <v>519</v>
      </c>
      <c r="F239" t="s">
        <v>1962</v>
      </c>
      <c r="G239" t="s">
        <v>1866</v>
      </c>
      <c r="H239" t="s">
        <v>1866</v>
      </c>
      <c r="I239" t="s">
        <v>1442</v>
      </c>
      <c r="J239" t="s">
        <v>1448</v>
      </c>
      <c r="K239" t="s">
        <v>1444</v>
      </c>
      <c r="N239" t="s">
        <v>1963</v>
      </c>
      <c r="O239" t="s">
        <v>1446</v>
      </c>
    </row>
    <row r="240" spans="1:15" x14ac:dyDescent="0.3">
      <c r="A240" t="s">
        <v>563</v>
      </c>
      <c r="B240" t="s">
        <v>1961</v>
      </c>
      <c r="C240" t="s">
        <v>564</v>
      </c>
      <c r="D240" t="s">
        <v>558</v>
      </c>
      <c r="F240" t="s">
        <v>1964</v>
      </c>
      <c r="G240" t="s">
        <v>1859</v>
      </c>
      <c r="H240" t="s">
        <v>1965</v>
      </c>
      <c r="I240" t="s">
        <v>1442</v>
      </c>
      <c r="J240" t="s">
        <v>1539</v>
      </c>
      <c r="K240" t="s">
        <v>1483</v>
      </c>
      <c r="L240">
        <v>335000</v>
      </c>
      <c r="M240">
        <v>6</v>
      </c>
      <c r="N240" t="s">
        <v>1966</v>
      </c>
      <c r="O240" t="s">
        <v>1446</v>
      </c>
    </row>
    <row r="241" spans="1:15" x14ac:dyDescent="0.3">
      <c r="A241" t="s">
        <v>931</v>
      </c>
      <c r="B241" t="s">
        <v>1961</v>
      </c>
      <c r="C241" t="s">
        <v>932</v>
      </c>
      <c r="D241" t="s">
        <v>423</v>
      </c>
      <c r="F241" t="s">
        <v>1967</v>
      </c>
      <c r="G241" t="s">
        <v>1968</v>
      </c>
      <c r="H241" t="s">
        <v>1969</v>
      </c>
      <c r="I241" t="s">
        <v>1970</v>
      </c>
      <c r="J241" t="s">
        <v>1443</v>
      </c>
      <c r="K241" t="s">
        <v>1483</v>
      </c>
      <c r="L241">
        <v>150000</v>
      </c>
      <c r="N241" t="s">
        <v>1971</v>
      </c>
      <c r="O241" t="s">
        <v>1446</v>
      </c>
    </row>
    <row r="242" spans="1:15" x14ac:dyDescent="0.3">
      <c r="A242" t="s">
        <v>77</v>
      </c>
      <c r="B242" t="s">
        <v>1961</v>
      </c>
      <c r="C242" t="s">
        <v>78</v>
      </c>
      <c r="D242" t="s">
        <v>613</v>
      </c>
      <c r="F242" t="s">
        <v>615</v>
      </c>
      <c r="G242" t="s">
        <v>1859</v>
      </c>
      <c r="H242" t="s">
        <v>1860</v>
      </c>
      <c r="I242" t="s">
        <v>1970</v>
      </c>
      <c r="J242" t="s">
        <v>1443</v>
      </c>
      <c r="K242" t="s">
        <v>1483</v>
      </c>
      <c r="L242">
        <v>368000</v>
      </c>
      <c r="N242" t="s">
        <v>1972</v>
      </c>
      <c r="O242" t="s">
        <v>1446</v>
      </c>
    </row>
    <row r="243" spans="1:15" x14ac:dyDescent="0.3">
      <c r="A243" t="s">
        <v>487</v>
      </c>
      <c r="B243" t="s">
        <v>1961</v>
      </c>
      <c r="C243" t="s">
        <v>488</v>
      </c>
      <c r="D243" t="s">
        <v>482</v>
      </c>
      <c r="F243" t="s">
        <v>1973</v>
      </c>
      <c r="G243" t="s">
        <v>1974</v>
      </c>
      <c r="H243" t="s">
        <v>1975</v>
      </c>
      <c r="I243" t="s">
        <v>1442</v>
      </c>
      <c r="J243" t="s">
        <v>1448</v>
      </c>
      <c r="K243" t="s">
        <v>1483</v>
      </c>
      <c r="M243">
        <v>12</v>
      </c>
      <c r="N243" t="s">
        <v>1976</v>
      </c>
      <c r="O243" t="s">
        <v>1446</v>
      </c>
    </row>
    <row r="244" spans="1:15" x14ac:dyDescent="0.3">
      <c r="A244" t="s">
        <v>939</v>
      </c>
      <c r="B244" t="s">
        <v>1961</v>
      </c>
      <c r="C244" t="s">
        <v>940</v>
      </c>
      <c r="D244" t="s">
        <v>934</v>
      </c>
      <c r="F244" t="s">
        <v>1977</v>
      </c>
      <c r="G244" t="s">
        <v>1821</v>
      </c>
      <c r="H244" t="s">
        <v>1821</v>
      </c>
      <c r="I244" t="s">
        <v>1442</v>
      </c>
      <c r="J244" t="s">
        <v>1448</v>
      </c>
      <c r="N244" t="s">
        <v>1978</v>
      </c>
      <c r="O244" t="s">
        <v>1446</v>
      </c>
    </row>
    <row r="245" spans="1:15" x14ac:dyDescent="0.3">
      <c r="A245" t="s">
        <v>541</v>
      </c>
      <c r="B245" t="s">
        <v>1961</v>
      </c>
      <c r="C245" t="s">
        <v>542</v>
      </c>
      <c r="D245" t="s">
        <v>536</v>
      </c>
      <c r="F245" t="s">
        <v>1979</v>
      </c>
      <c r="G245" t="s">
        <v>1544</v>
      </c>
      <c r="H245" t="s">
        <v>1980</v>
      </c>
      <c r="I245" t="s">
        <v>1442</v>
      </c>
      <c r="J245" t="s">
        <v>1443</v>
      </c>
      <c r="K245" t="s">
        <v>1483</v>
      </c>
      <c r="L245">
        <v>400000</v>
      </c>
      <c r="M245">
        <v>24</v>
      </c>
      <c r="N245" t="s">
        <v>1981</v>
      </c>
      <c r="O245" t="s">
        <v>1446</v>
      </c>
    </row>
    <row r="246" spans="1:15" x14ac:dyDescent="0.3">
      <c r="A246" t="s">
        <v>794</v>
      </c>
      <c r="B246" t="s">
        <v>1961</v>
      </c>
      <c r="C246" t="s">
        <v>795</v>
      </c>
      <c r="D246" t="s">
        <v>511</v>
      </c>
      <c r="F246" t="s">
        <v>1982</v>
      </c>
      <c r="G246" t="s">
        <v>1447</v>
      </c>
      <c r="H246" t="s">
        <v>1447</v>
      </c>
      <c r="I246" t="s">
        <v>1970</v>
      </c>
      <c r="J246" t="s">
        <v>1443</v>
      </c>
      <c r="K246" t="s">
        <v>1444</v>
      </c>
      <c r="L246">
        <v>1099899</v>
      </c>
      <c r="N246" t="s">
        <v>1983</v>
      </c>
      <c r="O246" t="s">
        <v>1446</v>
      </c>
    </row>
    <row r="247" spans="1:15" x14ac:dyDescent="0.3">
      <c r="A247" t="s">
        <v>100</v>
      </c>
      <c r="B247" t="s">
        <v>1961</v>
      </c>
      <c r="C247" t="s">
        <v>101</v>
      </c>
      <c r="D247" t="s">
        <v>95</v>
      </c>
      <c r="F247" t="s">
        <v>1984</v>
      </c>
      <c r="G247" t="s">
        <v>1985</v>
      </c>
      <c r="H247" t="s">
        <v>1985</v>
      </c>
      <c r="I247" t="s">
        <v>1442</v>
      </c>
      <c r="J247" t="s">
        <v>1443</v>
      </c>
      <c r="K247" t="s">
        <v>1444</v>
      </c>
      <c r="N247" t="s">
        <v>1986</v>
      </c>
      <c r="O247" t="s">
        <v>1446</v>
      </c>
    </row>
    <row r="248" spans="1:15" x14ac:dyDescent="0.3">
      <c r="A248" t="s">
        <v>1116</v>
      </c>
      <c r="B248" t="s">
        <v>1961</v>
      </c>
      <c r="C248" t="s">
        <v>1117</v>
      </c>
      <c r="D248" t="s">
        <v>1111</v>
      </c>
      <c r="F248" t="s">
        <v>1987</v>
      </c>
      <c r="G248" t="s">
        <v>1988</v>
      </c>
      <c r="H248" t="s">
        <v>1989</v>
      </c>
      <c r="I248" t="s">
        <v>1442</v>
      </c>
      <c r="J248" t="s">
        <v>1443</v>
      </c>
      <c r="K248" t="s">
        <v>1622</v>
      </c>
      <c r="M248">
        <v>16</v>
      </c>
      <c r="N248" t="s">
        <v>1990</v>
      </c>
      <c r="O248" t="s">
        <v>1446</v>
      </c>
    </row>
    <row r="249" spans="1:15" x14ac:dyDescent="0.3">
      <c r="A249" t="s">
        <v>1035</v>
      </c>
      <c r="B249" t="s">
        <v>1961</v>
      </c>
      <c r="C249" t="s">
        <v>1036</v>
      </c>
      <c r="D249" t="s">
        <v>1991</v>
      </c>
      <c r="E249" t="s">
        <v>1992</v>
      </c>
      <c r="F249" t="s">
        <v>1993</v>
      </c>
      <c r="G249" t="s">
        <v>1546</v>
      </c>
      <c r="H249" t="s">
        <v>1546</v>
      </c>
      <c r="I249" t="s">
        <v>1442</v>
      </c>
      <c r="J249" t="s">
        <v>1548</v>
      </c>
      <c r="K249" t="s">
        <v>1444</v>
      </c>
      <c r="M249">
        <v>6</v>
      </c>
      <c r="N249" t="s">
        <v>1994</v>
      </c>
      <c r="O249" t="s">
        <v>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Working</vt:lpstr>
      <vt:lpstr>Manual_Audit_Sample</vt:lpstr>
      <vt:lpstr>README</vt:lpstr>
      <vt:lpstr>Validation_Metrics</vt:lpstr>
      <vt:lpstr>Threshold_Sensitivity</vt:lpstr>
      <vt:lpstr>Event_Bias_Check</vt:lpstr>
      <vt:lpstr>Category_Event_Rates</vt:lpstr>
      <vt:lpstr>BOAMP_Raw_Records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Senghak ROU</cp:lastModifiedBy>
  <dcterms:created xsi:type="dcterms:W3CDTF">2026-06-29T13:28:14Z</dcterms:created>
  <dcterms:modified xsi:type="dcterms:W3CDTF">2026-07-02T07:30:02Z</dcterms:modified>
</cp:coreProperties>
</file>